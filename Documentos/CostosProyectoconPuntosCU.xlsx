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Costos Indirectos" sheetId="1" state="visible" r:id="rId2"/>
    <sheet name="Hw&amp;SW" sheetId="2" state="visible" r:id="rId3"/>
    <sheet name="Sueldos" sheetId="3" state="visible" r:id="rId4"/>
    <sheet name="Otros" sheetId="4" state="visible" r:id="rId5"/>
    <sheet name="TotalProyecto" sheetId="5" state="visible" r:id="rId6"/>
    <sheet name="UUCP" sheetId="6" state="visible" r:id="rId7"/>
    <sheet name="DistribuciónEsfuerzo" sheetId="7" state="visible" r:id="rId8"/>
  </sheets>
  <externalReferences>
    <externalReference r:id="rId1"/>
  </externalReferences>
  <definedNames>
    <definedName name="EF">UUCP!$E$44</definedName>
    <definedName name="estimacionEsfuerzo">'[1]Método de Estimación Puntos CU'!$E$50</definedName>
    <definedName name="TAW">UUCP!$E$7</definedName>
    <definedName name="TBF">UUCP!$E$13</definedName>
    <definedName name="TCF">UUCP!$E$32</definedName>
    <definedName name="UUCP">UUCP!$E$15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<sst xmlns="http://schemas.openxmlformats.org/spreadsheetml/2006/main" count="154" uniqueCount="154">
  <si>
    <t>Costos</t>
  </si>
  <si>
    <t>Descripción</t>
  </si>
  <si>
    <t>Anual</t>
  </si>
  <si>
    <t>Mensual</t>
  </si>
  <si>
    <t>Costo/empleado</t>
  </si>
  <si>
    <t>Empleados</t>
  </si>
  <si>
    <t>Renta</t>
  </si>
  <si>
    <t>Luz</t>
  </si>
  <si>
    <t>Agua</t>
  </si>
  <si>
    <t xml:space="preserve">Internet (Enlaces Dedicados)</t>
  </si>
  <si>
    <t>Limpieza</t>
  </si>
  <si>
    <t>Papelería</t>
  </si>
  <si>
    <t xml:space="preserve">Varios (Mantenimiento site)</t>
  </si>
  <si>
    <t xml:space="preserve">Caja Chica</t>
  </si>
  <si>
    <t>Total</t>
  </si>
  <si>
    <t>Infraestructura</t>
  </si>
  <si>
    <t>Número</t>
  </si>
  <si>
    <t xml:space="preserve">Costo Unitario</t>
  </si>
  <si>
    <t xml:space="preserve">Costo por proyecto</t>
  </si>
  <si>
    <t xml:space="preserve">Número de meses de duración</t>
  </si>
  <si>
    <t xml:space="preserve">Workstations Gama Alta (Backend / Arquitectura)</t>
  </si>
  <si>
    <t xml:space="preserve">Empleados proyecto</t>
  </si>
  <si>
    <t xml:space="preserve">Laptops Estándar (Analistas, PM)</t>
  </si>
  <si>
    <t xml:space="preserve">Dispositivos Móviles QA</t>
  </si>
  <si>
    <t xml:space="preserve">Escáneres Aulas (Lectores)</t>
  </si>
  <si>
    <t xml:space="preserve">Servidores Físicos (Backup Site)</t>
  </si>
  <si>
    <t xml:space="preserve">AWS / Azure (Mensual x 10)</t>
  </si>
  <si>
    <t xml:space="preserve">Enterprise Architect</t>
  </si>
  <si>
    <t xml:space="preserve">Licencias IDE (Mensual x 10)</t>
  </si>
  <si>
    <t xml:space="preserve">GitHub Enterprise (Mensual x 10)</t>
  </si>
  <si>
    <t xml:space="preserve">Office 365 E5 (Mensual x 10)</t>
  </si>
  <si>
    <t xml:space="preserve">Oracle / SQL Server Enterprise</t>
  </si>
  <si>
    <t>Totales</t>
  </si>
  <si>
    <t>Sueldos</t>
  </si>
  <si>
    <t>Puesto</t>
  </si>
  <si>
    <t xml:space="preserve">Recursos Proyecto</t>
  </si>
  <si>
    <t xml:space="preserve">Total Mensual</t>
  </si>
  <si>
    <t xml:space="preserve">Total Proyecto</t>
  </si>
  <si>
    <t xml:space="preserve">Tiempo a Utilizar</t>
  </si>
  <si>
    <t xml:space="preserve">Analista (Business Analyst Sr)</t>
  </si>
  <si>
    <t xml:space="preserve">Diseñador (UX/UI y Service Design)</t>
  </si>
  <si>
    <t xml:space="preserve">Arquitecto SW (Cloud Architect)</t>
  </si>
  <si>
    <t xml:space="preserve">Programador (Fullstack/Mobile Sr)</t>
  </si>
  <si>
    <t xml:space="preserve">Tester (QA Automation Engineer)</t>
  </si>
  <si>
    <t xml:space="preserve">Dirección Proyecto (Project Director)</t>
  </si>
  <si>
    <t xml:space="preserve">Scrum Master (Agile Coach)</t>
  </si>
  <si>
    <t xml:space="preserve">Implementador (DevOps/SecOps)</t>
  </si>
  <si>
    <t xml:space="preserve">Change Management (Líder Capacitación)</t>
  </si>
  <si>
    <t xml:space="preserve">DBA (Data Engineer Sr)</t>
  </si>
  <si>
    <t xml:space="preserve">Otros Costos</t>
  </si>
  <si>
    <t>Nùmero</t>
  </si>
  <si>
    <t>Costo</t>
  </si>
  <si>
    <t xml:space="preserve">Viajes corporativos (España)</t>
  </si>
  <si>
    <t xml:space="preserve">Campaña Marketing</t>
  </si>
  <si>
    <t xml:space="preserve">Auditoría Ciberseguridad</t>
  </si>
  <si>
    <t xml:space="preserve">Viáticos sucursales CDMX</t>
  </si>
  <si>
    <t xml:space="preserve">Servicios Legales</t>
  </si>
  <si>
    <t xml:space="preserve">Certificaciones Técnicas</t>
  </si>
  <si>
    <t xml:space="preserve">Resumen Costos</t>
  </si>
  <si>
    <t>Descripciòn</t>
  </si>
  <si>
    <t>%</t>
  </si>
  <si>
    <t>Tiempo</t>
  </si>
  <si>
    <t>Indirectos</t>
  </si>
  <si>
    <t>Otros</t>
  </si>
  <si>
    <t>Ganancia</t>
  </si>
  <si>
    <t xml:space="preserve">Total Propuesto</t>
  </si>
  <si>
    <t>Presupuesto</t>
  </si>
  <si>
    <t xml:space="preserve">2,000,000 USD</t>
  </si>
  <si>
    <t xml:space="preserve">ESTIMACIÓN DE ESFUERZO</t>
  </si>
  <si>
    <t xml:space="preserve">Factor de Peso Actores</t>
  </si>
  <si>
    <t>Peso</t>
  </si>
  <si>
    <t xml:space="preserve">Valor ponderado</t>
  </si>
  <si>
    <t>Comentario</t>
  </si>
  <si>
    <t>Simple</t>
  </si>
  <si>
    <t xml:space="preserve">API Programa</t>
  </si>
  <si>
    <t>Intermedio</t>
  </si>
  <si>
    <t>WS</t>
  </si>
  <si>
    <t>Complejo</t>
  </si>
  <si>
    <t xml:space="preserve">Humano con GUI</t>
  </si>
  <si>
    <t xml:space="preserve">Peso Total Actores</t>
  </si>
  <si>
    <t xml:space="preserve">Factor de Peso Casos de Uso (Basado en el número de transacciones en el CU)</t>
  </si>
  <si>
    <t xml:space="preserve">3 ó menos escenarios</t>
  </si>
  <si>
    <t xml:space="preserve">4 a 7 escenarios</t>
  </si>
  <si>
    <t xml:space="preserve">más de 7 escenarios</t>
  </si>
  <si>
    <t xml:space="preserve">Factores Basados en Transacciones</t>
  </si>
  <si>
    <t xml:space="preserve">Puntos de CU No Ajustados</t>
  </si>
  <si>
    <t xml:space="preserve">Factores de Peso Técnicos</t>
  </si>
  <si>
    <t xml:space="preserve">Escala de asignación</t>
  </si>
  <si>
    <t>Razón</t>
  </si>
  <si>
    <t xml:space="preserve">T1  Sistema Distribuido</t>
  </si>
  <si>
    <t xml:space="preserve">0=no importante  5=esencial</t>
  </si>
  <si>
    <t xml:space="preserve">T2  Objetivos de Desempeño o Tiempo de Respuesta</t>
  </si>
  <si>
    <t xml:space="preserve">T3  Eficiencia Usuario Final (online)</t>
  </si>
  <si>
    <t xml:space="preserve">T4  Procesamiento Interno Complejo</t>
  </si>
  <si>
    <t xml:space="preserve">T5  Código Debe Ser Reusable</t>
  </si>
  <si>
    <t xml:space="preserve">T6  Facilidad de Instalación</t>
  </si>
  <si>
    <t xml:space="preserve">T7  Facilidad de Uso</t>
  </si>
  <si>
    <t xml:space="preserve">T8  Portabilidad</t>
  </si>
  <si>
    <t xml:space="preserve">T9  Facilidad de Cambio</t>
  </si>
  <si>
    <t xml:space="preserve">T10 Concurrencia</t>
  </si>
  <si>
    <t xml:space="preserve">T11 Incluye Características Especiales de Seguridad</t>
  </si>
  <si>
    <t xml:space="preserve">T12 Provee Acceso Directo a Terceros</t>
  </si>
  <si>
    <t xml:space="preserve">T13 Se Requieren Ayudas Especiales de Entrenamiento de Usuarios </t>
  </si>
  <si>
    <t xml:space="preserve">Factores Técnicos</t>
  </si>
  <si>
    <t xml:space="preserve">Factor de Complejidad Técnica (TCF)</t>
  </si>
  <si>
    <r>
      <rPr>
        <b/>
        <sz val="10"/>
        <color indexed="2"/>
        <rFont val="Arial"/>
      </rPr>
      <t xml:space="preserve">.06 + (.01</t>
    </r>
    <r>
      <rPr>
        <b/>
        <sz val="10"/>
        <rFont val="Arial"/>
      </rPr>
      <t xml:space="preserve">*Factor Técnico)</t>
    </r>
  </si>
  <si>
    <t xml:space="preserve">Factores de Peso Ambientales del Equipo</t>
  </si>
  <si>
    <t xml:space="preserve">Escala de 0 a 5</t>
  </si>
  <si>
    <t>Experiencia/Estabilidad</t>
  </si>
  <si>
    <t xml:space="preserve">F1 Familiaridad con un Proceso Definido (RUP)</t>
  </si>
  <si>
    <t xml:space="preserve">0 = sin experiencia, 3=media, 5=experto</t>
  </si>
  <si>
    <t xml:space="preserve">F2 Experiencia en el Dominio de Aplicación</t>
  </si>
  <si>
    <t xml:space="preserve">F3 Experiencia en Orientación a Objetos</t>
  </si>
  <si>
    <t xml:space="preserve">F4 Capacidad de Liderazgo de Analistas</t>
  </si>
  <si>
    <t xml:space="preserve">F5 Motivación</t>
  </si>
  <si>
    <t xml:space="preserve">0=sin, 3=media, 5=alta</t>
  </si>
  <si>
    <t xml:space="preserve">F6 Requerimientos Estables</t>
  </si>
  <si>
    <t xml:space="preserve">0=extremadamente inestable, 5=no cambian</t>
  </si>
  <si>
    <t xml:space="preserve">F7 Miembros a Tiempo Parcial</t>
  </si>
  <si>
    <t xml:space="preserve">0=tiempo parcial, 5=tiempo completo</t>
  </si>
  <si>
    <t xml:space="preserve">F8 Dificultad del Lenguaje de Programación</t>
  </si>
  <si>
    <t xml:space="preserve">0=fácil, 3=medio,5=difícil</t>
  </si>
  <si>
    <t>-1</t>
  </si>
  <si>
    <t xml:space="preserve">Factores Ambientales</t>
  </si>
  <si>
    <t>EFactor</t>
  </si>
  <si>
    <t xml:space="preserve">1.4 + (-0.03*Factor Ambiental)</t>
  </si>
  <si>
    <t xml:space="preserve">Puntos de Casos de Uso Ajustados</t>
  </si>
  <si>
    <t xml:space="preserve">Horas Persona por Punto de Caso de Uso</t>
  </si>
  <si>
    <t xml:space="preserve">Horas Persona Estimación Inicial </t>
  </si>
  <si>
    <t xml:space="preserve">Factor de Ajuste de Contingencia</t>
  </si>
  <si>
    <t xml:space="preserve">**Entre 0-100%</t>
  </si>
  <si>
    <t xml:space="preserve">Horas Persona Estimadas en el Proyecto</t>
  </si>
  <si>
    <t xml:space="preserve">Distribución de esfuerzo</t>
  </si>
  <si>
    <t>Etapa</t>
  </si>
  <si>
    <t>Ponderación</t>
  </si>
  <si>
    <t xml:space="preserve">Horas Hombre</t>
  </si>
  <si>
    <t xml:space="preserve">Horas Hombre Totales</t>
  </si>
  <si>
    <t xml:space="preserve">Horas Mes</t>
  </si>
  <si>
    <t>Meses</t>
  </si>
  <si>
    <t xml:space="preserve">Personas En Equipo</t>
  </si>
  <si>
    <t xml:space="preserve">Total Meses</t>
  </si>
  <si>
    <t>Análisis</t>
  </si>
  <si>
    <t>Diseño</t>
  </si>
  <si>
    <t>Programación</t>
  </si>
  <si>
    <t>Test</t>
  </si>
  <si>
    <t xml:space="preserve">Costo </t>
  </si>
  <si>
    <t>Sueldo</t>
  </si>
  <si>
    <t xml:space="preserve">Costo Analista</t>
  </si>
  <si>
    <t xml:space="preserve">Costo Total</t>
  </si>
  <si>
    <t>Recursos</t>
  </si>
  <si>
    <t xml:space="preserve">Costo Diseñador</t>
  </si>
  <si>
    <t xml:space="preserve">Costo Programador</t>
  </si>
  <si>
    <t>Pruebas</t>
  </si>
  <si>
    <t xml:space="preserve">Costo Pruebas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</si>
</sst>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6">
    <font>
      <sz val="11.000000"/>
      <color theme="1"/>
      <name val="Calibri"/>
      <scheme val="minor"/>
    </font>
    <font>
      <sz val="12.000000"/>
      <name val="Times New Roman"/>
    </font>
    <font>
      <b/>
      <sz val="14.000000"/>
      <color theme="0"/>
      <name val="Arial"/>
    </font>
    <font>
      <sz val="10.000000"/>
      <name val="Arial"/>
    </font>
    <font>
      <b/>
      <sz val="10.000000"/>
      <name val="Arial"/>
    </font>
    <font>
      <u/>
      <sz val="10.00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theme="0"/>
      </patternFill>
    </fill>
    <fill>
      <patternFill patternType="solid">
        <fgColor theme="0" tint="-0.14999847407452621"/>
      </patternFill>
    </fill>
    <fill>
      <patternFill patternType="solid">
        <fgColor theme="3" tint="-0.249977111117893"/>
      </patternFill>
    </fill>
    <fill>
      <patternFill patternType="solid">
        <fgColor theme="0" tint="-0.049989318521683403"/>
      </patternFill>
    </fill>
    <fill>
      <patternFill patternType="solid">
        <fgColor rgb="FF92D050"/>
      </patternFill>
    </fill>
    <fill>
      <patternFill patternType="solid">
        <fgColor indexed="5"/>
      </patternFill>
    </fill>
  </fills>
  <borders count="31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116">
    <xf fontId="0" fillId="0" borderId="0" numFmtId="0" xfId="0"/>
    <xf fontId="0" fillId="0" borderId="0" numFmtId="164" xfId="1" applyNumberFormat="1"/>
    <xf fontId="0" fillId="0" borderId="0" numFmtId="0" xfId="0" applyAlignment="1">
      <alignment horizontal="center"/>
    </xf>
    <xf fontId="0" fillId="2" borderId="0" numFmtId="0" xfId="0" applyFill="1"/>
    <xf fontId="0" fillId="2" borderId="0" numFmtId="164" xfId="1" applyNumberFormat="1" applyFill="1"/>
    <xf fontId="0" fillId="2" borderId="1" numFmtId="0" xfId="0" applyFill="1" applyBorder="1"/>
    <xf fontId="0" fillId="0" borderId="1" numFmtId="0" xfId="0" applyBorder="1"/>
    <xf fontId="0" fillId="3" borderId="1" numFmtId="0" xfId="0" applyFill="1" applyBorder="1"/>
    <xf fontId="0" fillId="3" borderId="1" numFmtId="164" xfId="1" applyNumberFormat="1" applyFill="1" applyBorder="1"/>
    <xf fontId="0" fillId="0" borderId="0" numFmtId="0" xfId="0" applyAlignment="1">
      <alignment wrapText="1"/>
    </xf>
    <xf fontId="0" fillId="4" borderId="0" numFmtId="0" xfId="0" applyFill="1" applyAlignment="1">
      <alignment horizontal="center" wrapText="1"/>
    </xf>
    <xf fontId="0" fillId="4" borderId="2" numFmtId="0" xfId="0" applyFill="1" applyBorder="1" applyAlignment="1">
      <alignment wrapText="1"/>
    </xf>
    <xf fontId="0" fillId="4" borderId="1" numFmtId="0" xfId="0" applyFill="1" applyBorder="1"/>
    <xf fontId="0" fillId="4" borderId="1" numFmtId="164" xfId="1" applyNumberFormat="1" applyFill="1" applyBorder="1"/>
    <xf fontId="0" fillId="0" borderId="3" numFmtId="0" xfId="0" applyBorder="1"/>
    <xf fontId="0" fillId="0" borderId="4" numFmtId="0" xfId="0" applyBorder="1"/>
    <xf fontId="0" fillId="0" borderId="1" numFmtId="164" xfId="1" applyNumberFormat="1" applyBorder="1"/>
    <xf fontId="1" fillId="0" borderId="3" numFmtId="0" xfId="0" applyFont="1" applyBorder="1" applyAlignment="1">
      <alignment horizontal="left"/>
    </xf>
    <xf fontId="0" fillId="0" borderId="5" numFmtId="0" xfId="0" applyBorder="1" applyAlignment="1">
      <alignment wrapText="1"/>
    </xf>
    <xf fontId="0" fillId="4" borderId="6" numFmtId="0" xfId="0" applyFill="1" applyBorder="1" applyAlignment="1">
      <alignment horizontal="center"/>
    </xf>
    <xf fontId="0" fillId="4" borderId="0" numFmtId="0" xfId="0" applyFill="1" applyAlignment="1">
      <alignment horizontal="center"/>
    </xf>
    <xf fontId="0" fillId="0" borderId="1" numFmtId="3" xfId="0" applyNumberFormat="1" applyBorder="1"/>
    <xf fontId="0" fillId="0" borderId="1" numFmtId="164" xfId="0" applyNumberFormat="1" applyBorder="1"/>
    <xf fontId="0" fillId="0" borderId="1" numFmtId="1" xfId="0" applyNumberFormat="1" applyBorder="1"/>
    <xf fontId="0" fillId="0" borderId="1" numFmtId="164" xfId="1" applyNumberFormat="1" applyBorder="1" quotePrefix="1"/>
    <xf fontId="0" fillId="0" borderId="0" numFmtId="49" xfId="0" applyNumberFormat="1" applyAlignment="1">
      <alignment wrapText="1"/>
    </xf>
    <xf fontId="0" fillId="0" borderId="0" numFmtId="0" xfId="0" applyAlignment="1">
      <alignment horizontal="right"/>
    </xf>
    <xf fontId="0" fillId="0" borderId="0" numFmtId="0" xfId="0" applyAlignment="1" applyProtection="1">
      <alignment wrapText="1"/>
      <protection locked="0"/>
    </xf>
    <xf fontId="2" fillId="5" borderId="0" numFmtId="0" xfId="0" applyFont="1" applyFill="1" applyAlignment="1">
      <alignment horizontal="center" wrapText="1"/>
    </xf>
    <xf fontId="3" fillId="0" borderId="0" numFmtId="0" xfId="0" applyFont="1" applyAlignment="1">
      <alignment wrapText="1"/>
    </xf>
    <xf fontId="3" fillId="0" borderId="0" numFmtId="49" xfId="0" applyNumberFormat="1" applyFont="1" applyAlignment="1">
      <alignment wrapText="1"/>
    </xf>
    <xf fontId="3" fillId="0" borderId="0" numFmtId="0" xfId="0" applyFont="1" applyAlignment="1">
      <alignment horizontal="right"/>
    </xf>
    <xf fontId="3" fillId="0" borderId="0" numFmtId="0" xfId="0" applyFont="1" applyAlignment="1" applyProtection="1">
      <alignment wrapText="1"/>
      <protection locked="0"/>
    </xf>
    <xf fontId="3" fillId="0" borderId="0" numFmtId="0" xfId="0" applyFont="1"/>
    <xf fontId="4" fillId="0" borderId="0" numFmtId="0" xfId="0" applyFont="1"/>
    <xf fontId="4" fillId="4" borderId="7" numFmtId="0" xfId="0" applyFont="1" applyFill="1" applyBorder="1" applyAlignment="1">
      <alignment wrapText="1"/>
    </xf>
    <xf fontId="4" fillId="4" borderId="8" numFmtId="49" xfId="0" applyNumberFormat="1" applyFont="1" applyFill="1" applyBorder="1" applyAlignment="1">
      <alignment wrapText="1"/>
    </xf>
    <xf fontId="4" fillId="4" borderId="8" numFmtId="0" xfId="0" applyFont="1" applyFill="1" applyBorder="1" applyAlignment="1">
      <alignment horizontal="right"/>
    </xf>
    <xf fontId="4" fillId="4" borderId="8" numFmtId="0" xfId="0" applyFont="1" applyFill="1" applyBorder="1" applyAlignment="1">
      <alignment wrapText="1"/>
    </xf>
    <xf fontId="4" fillId="4" borderId="8" numFmtId="0" xfId="0" applyFont="1" applyFill="1" applyBorder="1"/>
    <xf fontId="4" fillId="4" borderId="9" numFmtId="0" xfId="0" applyFont="1" applyFill="1" applyBorder="1" applyAlignment="1">
      <alignment wrapText="1"/>
    </xf>
    <xf fontId="3" fillId="0" borderId="10" numFmtId="0" xfId="0" applyFont="1" applyBorder="1" applyAlignment="1">
      <alignment wrapText="1"/>
    </xf>
    <xf fontId="3" fillId="0" borderId="5" numFmtId="49" xfId="0" applyNumberFormat="1" applyFont="1" applyBorder="1" applyAlignment="1">
      <alignment wrapText="1"/>
    </xf>
    <xf fontId="3" fillId="6" borderId="5" numFmtId="0" xfId="0" applyFont="1" applyFill="1" applyBorder="1" applyAlignment="1">
      <alignment horizontal="right"/>
    </xf>
    <xf fontId="3" fillId="3" borderId="5" numFmtId="0" xfId="0" applyFont="1" applyFill="1" applyBorder="1" applyAlignment="1" applyProtection="1">
      <alignment wrapText="1"/>
      <protection locked="0"/>
    </xf>
    <xf fontId="3" fillId="6" borderId="5" numFmtId="0" xfId="0" applyFont="1" applyFill="1" applyBorder="1"/>
    <xf fontId="3" fillId="3" borderId="11" numFmtId="0" xfId="0" applyFont="1" applyFill="1" applyBorder="1" applyAlignment="1" applyProtection="1">
      <alignment wrapText="1"/>
      <protection locked="0"/>
    </xf>
    <xf fontId="3" fillId="0" borderId="12" numFmtId="0" xfId="0" applyFont="1" applyBorder="1" applyAlignment="1">
      <alignment wrapText="1"/>
    </xf>
    <xf fontId="3" fillId="0" borderId="1" numFmtId="49" xfId="0" applyNumberFormat="1" applyFont="1" applyBorder="1" applyAlignment="1">
      <alignment wrapText="1"/>
    </xf>
    <xf fontId="3" fillId="6" borderId="1" numFmtId="0" xfId="0" applyFont="1" applyFill="1" applyBorder="1" applyAlignment="1">
      <alignment horizontal="right"/>
    </xf>
    <xf fontId="3" fillId="3" borderId="1" numFmtId="0" xfId="0" applyFont="1" applyFill="1" applyBorder="1" applyAlignment="1" applyProtection="1">
      <alignment wrapText="1"/>
      <protection locked="0"/>
    </xf>
    <xf fontId="3" fillId="6" borderId="1" numFmtId="0" xfId="0" applyFont="1" applyFill="1" applyBorder="1"/>
    <xf fontId="3" fillId="3" borderId="13" numFmtId="0" xfId="0" applyFont="1" applyFill="1" applyBorder="1" applyAlignment="1" applyProtection="1">
      <alignment wrapText="1"/>
      <protection locked="0"/>
    </xf>
    <xf fontId="3" fillId="0" borderId="14" numFmtId="0" xfId="0" applyFont="1" applyBorder="1" applyAlignment="1">
      <alignment wrapText="1"/>
    </xf>
    <xf fontId="3" fillId="0" borderId="2" numFmtId="49" xfId="0" applyNumberFormat="1" applyFont="1" applyBorder="1" applyAlignment="1">
      <alignment wrapText="1"/>
    </xf>
    <xf fontId="3" fillId="6" borderId="2" numFmtId="0" xfId="0" applyFont="1" applyFill="1" applyBorder="1" applyAlignment="1">
      <alignment horizontal="right"/>
    </xf>
    <xf fontId="3" fillId="3" borderId="2" numFmtId="0" xfId="0" applyFont="1" applyFill="1" applyBorder="1" applyAlignment="1" applyProtection="1">
      <alignment wrapText="1"/>
      <protection locked="0"/>
    </xf>
    <xf fontId="5" fillId="6" borderId="2" numFmtId="0" xfId="0" applyFont="1" applyFill="1" applyBorder="1"/>
    <xf fontId="3" fillId="3" borderId="15" numFmtId="0" xfId="0" applyFont="1" applyFill="1" applyBorder="1" applyAlignment="1" applyProtection="1">
      <alignment wrapText="1"/>
      <protection locked="0"/>
    </xf>
    <xf fontId="4" fillId="4" borderId="8" numFmtId="0" xfId="0" applyFont="1" applyFill="1" applyBorder="1" applyAlignment="1" applyProtection="1">
      <alignment wrapText="1"/>
      <protection locked="0"/>
    </xf>
    <xf fontId="4" fillId="4" borderId="9" numFmtId="0" xfId="0" applyFont="1" applyFill="1" applyBorder="1" applyAlignment="1" applyProtection="1">
      <alignment wrapText="1"/>
      <protection locked="0"/>
    </xf>
    <xf fontId="4" fillId="7" borderId="16" numFmtId="0" xfId="0" applyFont="1" applyFill="1" applyBorder="1" applyAlignment="1">
      <alignment wrapText="1"/>
    </xf>
    <xf fontId="4" fillId="4" borderId="17" numFmtId="49" xfId="0" applyNumberFormat="1" applyFont="1" applyFill="1" applyBorder="1" applyAlignment="1">
      <alignment wrapText="1"/>
    </xf>
    <xf fontId="4" fillId="4" borderId="17" numFmtId="0" xfId="0" applyFont="1" applyFill="1" applyBorder="1" applyAlignment="1">
      <alignment horizontal="right"/>
    </xf>
    <xf fontId="4" fillId="4" borderId="17" numFmtId="0" xfId="0" applyFont="1" applyFill="1" applyBorder="1" applyAlignment="1" applyProtection="1">
      <alignment wrapText="1"/>
      <protection locked="0"/>
    </xf>
    <xf fontId="4" fillId="7" borderId="17" numFmtId="0" xfId="0" applyFont="1" applyFill="1" applyBorder="1"/>
    <xf fontId="4" fillId="8" borderId="18" numFmtId="0" xfId="0" applyFont="1" applyFill="1" applyBorder="1" applyAlignment="1" applyProtection="1">
      <alignment wrapText="1"/>
      <protection locked="0"/>
    </xf>
    <xf fontId="3" fillId="6" borderId="5" numFmtId="49" xfId="0" applyNumberFormat="1" applyFont="1" applyFill="1" applyBorder="1" applyAlignment="1">
      <alignment horizontal="right" wrapText="1"/>
    </xf>
    <xf fontId="3" fillId="6" borderId="1" numFmtId="49" xfId="0" applyNumberFormat="1" applyFont="1" applyFill="1" applyBorder="1" applyAlignment="1">
      <alignment horizontal="right" wrapText="1"/>
    </xf>
    <xf fontId="3" fillId="6" borderId="2" numFmtId="49" xfId="0" applyNumberFormat="1" applyFont="1" applyFill="1" applyBorder="1" applyAlignment="1">
      <alignment horizontal="right" wrapText="1"/>
    </xf>
    <xf fontId="4" fillId="7" borderId="8" numFmtId="0" xfId="0" applyFont="1" applyFill="1" applyBorder="1"/>
    <xf fontId="4" fillId="4" borderId="19" numFmtId="0" xfId="0" applyFont="1" applyFill="1" applyBorder="1" applyAlignment="1">
      <alignment wrapText="1"/>
    </xf>
    <xf fontId="4" fillId="4" borderId="20" numFmtId="49" xfId="0" applyNumberFormat="1" applyFont="1" applyFill="1" applyBorder="1" applyAlignment="1">
      <alignment wrapText="1"/>
    </xf>
    <xf fontId="4" fillId="4" borderId="20" numFmtId="0" xfId="0" applyFont="1" applyFill="1" applyBorder="1" applyAlignment="1">
      <alignment horizontal="right"/>
    </xf>
    <xf fontId="4" fillId="4" borderId="20" numFmtId="0" xfId="0" applyFont="1" applyFill="1" applyBorder="1" applyAlignment="1" applyProtection="1">
      <alignment wrapText="1"/>
      <protection locked="0"/>
    </xf>
    <xf fontId="4" fillId="7" borderId="20" numFmtId="0" xfId="0" applyFont="1" applyFill="1" applyBorder="1"/>
    <xf fontId="4" fillId="8" borderId="21" numFmtId="0" xfId="0" applyFont="1" applyFill="1" applyBorder="1" applyAlignment="1" applyProtection="1">
      <alignment wrapText="1"/>
      <protection locked="0"/>
    </xf>
    <xf fontId="3" fillId="0" borderId="5" numFmtId="0" xfId="0" applyFont="1" applyBorder="1" applyAlignment="1">
      <alignment wrapText="1"/>
    </xf>
    <xf fontId="0" fillId="0" borderId="5" numFmtId="0" xfId="0" applyBorder="1"/>
    <xf fontId="3" fillId="0" borderId="1" numFmtId="0" xfId="0" applyFont="1" applyBorder="1" applyAlignment="1">
      <alignment wrapText="1"/>
    </xf>
    <xf fontId="3" fillId="0" borderId="2" numFmtId="0" xfId="0" applyFont="1" applyBorder="1" applyAlignment="1">
      <alignment wrapText="1"/>
    </xf>
    <xf fontId="5" fillId="0" borderId="2" numFmtId="0" xfId="0" applyFont="1" applyBorder="1"/>
    <xf fontId="4" fillId="4" borderId="9" numFmtId="0" xfId="0" applyFont="1" applyFill="1" applyBorder="1"/>
    <xf fontId="4" fillId="8" borderId="8" numFmtId="0" xfId="0" applyFont="1" applyFill="1" applyBorder="1" applyAlignment="1" applyProtection="1">
      <alignment wrapText="1"/>
      <protection locked="0"/>
    </xf>
    <xf fontId="3" fillId="4" borderId="22" numFmtId="0" xfId="0" applyFont="1" applyFill="1" applyBorder="1" applyAlignment="1">
      <alignment wrapText="1"/>
    </xf>
    <xf fontId="3" fillId="4" borderId="23" numFmtId="49" xfId="0" applyNumberFormat="1" applyFont="1" applyFill="1" applyBorder="1" applyAlignment="1">
      <alignment wrapText="1"/>
    </xf>
    <xf fontId="3" fillId="4" borderId="23" numFmtId="0" xfId="0" applyFont="1" applyFill="1" applyBorder="1" applyAlignment="1">
      <alignment horizontal="right"/>
    </xf>
    <xf fontId="3" fillId="4" borderId="23" numFmtId="0" xfId="0" applyFont="1" applyFill="1" applyBorder="1" applyAlignment="1" applyProtection="1">
      <alignment wrapText="1"/>
      <protection locked="0"/>
    </xf>
    <xf fontId="3" fillId="8" borderId="23" numFmtId="0" xfId="0" applyFont="1" applyFill="1" applyBorder="1"/>
    <xf fontId="3" fillId="4" borderId="24" numFmtId="0" xfId="0" applyFont="1" applyFill="1" applyBorder="1" applyAlignment="1" applyProtection="1">
      <alignment wrapText="1"/>
      <protection locked="0"/>
    </xf>
    <xf fontId="3" fillId="4" borderId="25" numFmtId="0" xfId="0" applyFont="1" applyFill="1" applyBorder="1" applyAlignment="1">
      <alignment wrapText="1"/>
    </xf>
    <xf fontId="3" fillId="4" borderId="0" numFmtId="49" xfId="0" applyNumberFormat="1" applyFont="1" applyFill="1" applyAlignment="1">
      <alignment wrapText="1"/>
    </xf>
    <xf fontId="3" fillId="4" borderId="0" numFmtId="0" xfId="0" applyFont="1" applyFill="1" applyAlignment="1">
      <alignment horizontal="right"/>
    </xf>
    <xf fontId="3" fillId="4" borderId="0" numFmtId="0" xfId="0" applyFont="1" applyFill="1" applyAlignment="1" applyProtection="1">
      <alignment wrapText="1"/>
      <protection locked="0"/>
    </xf>
    <xf fontId="3" fillId="4" borderId="0" numFmtId="0" xfId="0" applyFont="1" applyFill="1"/>
    <xf fontId="3" fillId="4" borderId="26" numFmtId="0" xfId="0" applyFont="1" applyFill="1" applyBorder="1" applyAlignment="1" applyProtection="1">
      <alignment wrapText="1"/>
      <protection locked="0"/>
    </xf>
    <xf fontId="3" fillId="7" borderId="27" numFmtId="4" xfId="0" applyNumberFormat="1" applyFont="1" applyFill="1" applyBorder="1"/>
    <xf fontId="3" fillId="4" borderId="0" numFmtId="9" xfId="0" applyNumberFormat="1" applyFont="1" applyFill="1"/>
    <xf fontId="3" fillId="4" borderId="28" numFmtId="0" xfId="0" applyFont="1" applyFill="1" applyBorder="1" applyAlignment="1">
      <alignment wrapText="1"/>
    </xf>
    <xf fontId="3" fillId="4" borderId="27" numFmtId="49" xfId="0" applyNumberFormat="1" applyFont="1" applyFill="1" applyBorder="1" applyAlignment="1">
      <alignment wrapText="1"/>
    </xf>
    <xf fontId="3" fillId="4" borderId="27" numFmtId="0" xfId="0" applyFont="1" applyFill="1" applyBorder="1" applyAlignment="1">
      <alignment horizontal="right"/>
    </xf>
    <xf fontId="3" fillId="4" borderId="27" numFmtId="0" xfId="0" applyFont="1" applyFill="1" applyBorder="1" applyAlignment="1" applyProtection="1">
      <alignment wrapText="1"/>
      <protection locked="0"/>
    </xf>
    <xf fontId="3" fillId="4" borderId="29" numFmtId="0" xfId="0" applyFont="1" applyFill="1" applyBorder="1" applyAlignment="1" applyProtection="1">
      <alignment wrapText="1"/>
      <protection locked="0"/>
    </xf>
    <xf fontId="0" fillId="0" borderId="0" numFmtId="4" xfId="0" applyNumberFormat="1"/>
    <xf fontId="3" fillId="4" borderId="30" numFmtId="0" xfId="0" applyFont="1" applyFill="1" applyBorder="1" applyAlignment="1">
      <alignment horizontal="center"/>
    </xf>
    <xf fontId="0" fillId="4" borderId="30" numFmtId="0" xfId="0" applyFill="1" applyBorder="1" applyAlignment="1">
      <alignment horizontal="center"/>
    </xf>
    <xf fontId="3" fillId="4" borderId="1" numFmtId="0" xfId="0" applyFont="1" applyFill="1" applyBorder="1"/>
    <xf fontId="3" fillId="4" borderId="1" numFmtId="4" xfId="0" applyNumberFormat="1" applyFont="1" applyFill="1" applyBorder="1"/>
    <xf fontId="0" fillId="0" borderId="1" numFmtId="9" xfId="0" applyNumberFormat="1" applyBorder="1"/>
    <xf fontId="0" fillId="0" borderId="1" numFmtId="4" xfId="0" applyNumberFormat="1" applyBorder="1"/>
    <xf fontId="0" fillId="7" borderId="1" numFmtId="4" xfId="0" applyNumberFormat="1" applyFill="1" applyBorder="1"/>
    <xf fontId="3" fillId="0" borderId="1" numFmtId="4" xfId="0" applyNumberFormat="1" applyFont="1" applyBorder="1"/>
    <xf fontId="0" fillId="7" borderId="1" numFmtId="0" xfId="0" applyFill="1" applyBorder="1"/>
    <xf fontId="3" fillId="0" borderId="1" numFmtId="3" xfId="0" applyNumberFormat="1" applyFont="1" applyBorder="1"/>
    <xf fontId="0" fillId="7" borderId="1" numFmtId="3" xfId="0" applyNumberFormat="1" applyFill="1" applyBorder="1"/>
    <xf fontId="3" fillId="4" borderId="0" numFmt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CalculoTiempoCo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étodo de Estimación Puntos CU"/>
      <sheetName val="Distribución de esfuerzo"/>
    </sheetNames>
    <sheetDataSet>
      <sheetData sheetId="0">
        <row r="50">
          <cell r="E50" t="n">
            <v>4399.2</v>
          </cell>
        </row>
      </sheetData>
      <sheetData sheetId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4" activeCellId="0" sqref="E4"/>
    </sheetView>
  </sheetViews>
  <sheetFormatPr baseColWidth="10" defaultRowHeight="14.25"/>
  <cols>
    <col bestFit="1" min="2" max="2" width="52.140625"/>
    <col bestFit="1" customWidth="1" min="3" max="3" style="1" width="13.57421875"/>
    <col bestFit="1" customWidth="1" min="4" max="4" style="1" width="12.00390625"/>
    <col bestFit="1" customWidth="1" min="5" max="5" style="1" width="17.42578125"/>
  </cols>
  <sheetData>
    <row r="1">
      <c r="B1" s="2" t="s">
        <v>0</v>
      </c>
      <c r="C1" s="2"/>
      <c r="D1" s="2"/>
      <c r="E1" s="2"/>
    </row>
    <row r="2">
      <c r="B2" s="3" t="s">
        <v>1</v>
      </c>
      <c r="C2" s="4" t="s">
        <v>2</v>
      </c>
      <c r="D2" s="4" t="s">
        <v>3</v>
      </c>
      <c r="E2" s="4" t="s">
        <v>4</v>
      </c>
      <c r="H2" s="5" t="s">
        <v>5</v>
      </c>
      <c r="I2" s="6">
        <v>21</v>
      </c>
    </row>
    <row r="3">
      <c r="B3" s="7"/>
      <c r="C3" s="8"/>
      <c r="D3" s="8"/>
      <c r="E3" s="8"/>
    </row>
    <row r="4" ht="15">
      <c r="B4" s="7" t="s">
        <v>6</v>
      </c>
      <c r="C4" s="8">
        <f t="shared" ref="C4:C9" si="0">D4*12</f>
        <v>2400000</v>
      </c>
      <c r="D4" s="8">
        <v>200000</v>
      </c>
      <c r="E4" s="8">
        <f t="shared" ref="E4:E19" si="1">+D4/$I$2</f>
        <v>9523.8095238095229</v>
      </c>
    </row>
    <row r="5">
      <c r="B5" s="7" t="s">
        <v>7</v>
      </c>
      <c r="C5" s="8">
        <f t="shared" si="0"/>
        <v>240000</v>
      </c>
      <c r="D5" s="8">
        <v>20000</v>
      </c>
      <c r="E5" s="8">
        <f t="shared" si="1"/>
        <v>952.38095238095241</v>
      </c>
    </row>
    <row r="6">
      <c r="B6" s="7" t="s">
        <v>8</v>
      </c>
      <c r="C6" s="8">
        <f t="shared" si="0"/>
        <v>84000</v>
      </c>
      <c r="D6" s="8">
        <v>7000</v>
      </c>
      <c r="E6" s="8">
        <f t="shared" si="1"/>
        <v>333.33333333333331</v>
      </c>
    </row>
    <row r="7">
      <c r="B7" s="7" t="s">
        <v>9</v>
      </c>
      <c r="C7" s="8">
        <f t="shared" si="0"/>
        <v>360000</v>
      </c>
      <c r="D7" s="8">
        <v>30000</v>
      </c>
      <c r="E7" s="8">
        <f t="shared" si="1"/>
        <v>1428.5714285714287</v>
      </c>
    </row>
    <row r="8">
      <c r="B8" s="7" t="s">
        <v>10</v>
      </c>
      <c r="C8" s="8">
        <f t="shared" si="0"/>
        <v>300000</v>
      </c>
      <c r="D8" s="8">
        <v>25000</v>
      </c>
      <c r="E8" s="8">
        <f t="shared" si="1"/>
        <v>1190.4761904761904</v>
      </c>
    </row>
    <row r="9">
      <c r="B9" s="7" t="s">
        <v>11</v>
      </c>
      <c r="C9" s="8">
        <f t="shared" si="0"/>
        <v>120000</v>
      </c>
      <c r="D9" s="8">
        <v>10000</v>
      </c>
      <c r="E9" s="8">
        <f t="shared" si="1"/>
        <v>476.1904761904762</v>
      </c>
    </row>
    <row r="10">
      <c r="B10" s="7" t="s">
        <v>12</v>
      </c>
      <c r="C10" s="8">
        <f t="shared" ref="C10:C11" si="2">D10*12</f>
        <v>360000</v>
      </c>
      <c r="D10" s="8">
        <v>30000</v>
      </c>
      <c r="E10" s="8">
        <f t="shared" ref="E10:E11" si="3">+D10/$I$2</f>
        <v>1428.5714285714287</v>
      </c>
    </row>
    <row r="11">
      <c r="B11" s="7" t="s">
        <v>13</v>
      </c>
      <c r="C11" s="8">
        <f t="shared" si="2"/>
        <v>180000</v>
      </c>
      <c r="D11" s="8">
        <v>15000</v>
      </c>
      <c r="E11" s="8">
        <f t="shared" si="3"/>
        <v>714.28571428571433</v>
      </c>
    </row>
    <row r="12">
      <c r="B12" s="7"/>
      <c r="C12" s="8"/>
      <c r="D12" s="8"/>
      <c r="E12" s="8"/>
    </row>
    <row r="13">
      <c r="B13" s="7"/>
      <c r="C13" s="8"/>
      <c r="D13" s="8"/>
      <c r="E13" s="8"/>
    </row>
    <row r="14">
      <c r="B14" s="7"/>
      <c r="C14" s="8"/>
      <c r="D14" s="8"/>
      <c r="E14" s="8"/>
    </row>
    <row r="15">
      <c r="B15" s="7"/>
      <c r="C15" s="8"/>
      <c r="D15" s="8"/>
      <c r="E15" s="8"/>
    </row>
    <row r="16">
      <c r="B16" s="7"/>
      <c r="C16" s="8"/>
      <c r="D16" s="8"/>
      <c r="E16" s="8"/>
    </row>
    <row r="17">
      <c r="B17" s="7"/>
      <c r="C17" s="8"/>
      <c r="D17" s="8"/>
      <c r="E17" s="8"/>
    </row>
    <row r="18">
      <c r="B18" s="7"/>
      <c r="C18" s="8"/>
      <c r="D18" s="8"/>
      <c r="E18" s="8"/>
    </row>
    <row r="19">
      <c r="B19" s="7" t="s">
        <v>14</v>
      </c>
      <c r="C19" s="8">
        <f>SUM(C4:C18)</f>
        <v>4044000</v>
      </c>
      <c r="D19" s="8">
        <f>SUM(D4:D18)</f>
        <v>337000</v>
      </c>
      <c r="E19" s="8">
        <f t="shared" si="1"/>
        <v>16047.619047619048</v>
      </c>
    </row>
  </sheetData>
  <mergeCells count="1">
    <mergeCell ref="B1:E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7" activeCellId="0" sqref="A7"/>
    </sheetView>
  </sheetViews>
  <sheetFormatPr baseColWidth="10" defaultRowHeight="14.25"/>
  <cols>
    <col bestFit="1" customWidth="1" min="2" max="2" style="9" width="52.00390625"/>
    <col bestFit="1" min="4" max="4" style="1" width="13.57421875"/>
    <col bestFit="1" customWidth="1" min="5" max="5" style="1" width="17.85546875"/>
    <col bestFit="1" customWidth="1" min="9" max="9" width="28.42578125"/>
  </cols>
  <sheetData>
    <row r="1">
      <c r="B1" s="10" t="s">
        <v>15</v>
      </c>
      <c r="C1" s="10"/>
      <c r="D1" s="10"/>
      <c r="E1" s="10"/>
    </row>
    <row r="2">
      <c r="B2" s="11" t="s">
        <v>1</v>
      </c>
      <c r="C2" s="12" t="s">
        <v>16</v>
      </c>
      <c r="D2" s="13" t="s">
        <v>17</v>
      </c>
      <c r="E2" s="13" t="s">
        <v>18</v>
      </c>
      <c r="I2" s="12" t="s">
        <v>19</v>
      </c>
      <c r="J2" s="6">
        <v>10</v>
      </c>
    </row>
    <row r="3">
      <c r="B3" s="14" t="s">
        <v>20</v>
      </c>
      <c r="C3" s="15">
        <v>11</v>
      </c>
      <c r="D3" s="16">
        <v>60000</v>
      </c>
      <c r="E3" s="16">
        <f t="shared" ref="E3:E7" si="4">D3*C3</f>
        <v>660000</v>
      </c>
      <c r="I3" s="12" t="s">
        <v>21</v>
      </c>
      <c r="J3" s="6">
        <v>21</v>
      </c>
    </row>
    <row r="4" ht="15">
      <c r="B4" s="17" t="s">
        <v>22</v>
      </c>
      <c r="C4" s="15">
        <v>10</v>
      </c>
      <c r="D4" s="16">
        <v>30000</v>
      </c>
      <c r="E4" s="16">
        <f t="shared" si="4"/>
        <v>300000</v>
      </c>
    </row>
    <row r="5" ht="15">
      <c r="B5" s="17" t="s">
        <v>23</v>
      </c>
      <c r="C5" s="15">
        <v>10</v>
      </c>
      <c r="D5" s="16">
        <v>20000</v>
      </c>
      <c r="E5" s="16">
        <f t="shared" si="4"/>
        <v>200000</v>
      </c>
    </row>
    <row r="6" ht="15">
      <c r="B6" s="17" t="s">
        <v>24</v>
      </c>
      <c r="C6" s="15">
        <v>40</v>
      </c>
      <c r="D6" s="16">
        <v>6000</v>
      </c>
      <c r="E6" s="16">
        <f t="shared" si="4"/>
        <v>240000</v>
      </c>
    </row>
    <row r="7" ht="15">
      <c r="B7" s="17" t="s">
        <v>25</v>
      </c>
      <c r="C7" s="15">
        <v>1</v>
      </c>
      <c r="D7" s="16">
        <v>406000</v>
      </c>
      <c r="E7" s="16">
        <f t="shared" si="4"/>
        <v>406000</v>
      </c>
    </row>
    <row r="8" ht="15">
      <c r="B8" s="17" t="s">
        <v>26</v>
      </c>
      <c r="C8" s="15">
        <v>1</v>
      </c>
      <c r="D8" s="16">
        <v>160000</v>
      </c>
      <c r="E8" s="16">
        <f>D8*C8*J2</f>
        <v>1600000</v>
      </c>
    </row>
    <row r="9" ht="15">
      <c r="B9" s="17" t="s">
        <v>27</v>
      </c>
      <c r="C9" s="15">
        <v>4</v>
      </c>
      <c r="D9" s="16">
        <v>8000</v>
      </c>
      <c r="E9" s="16">
        <f>D9*C9</f>
        <v>32000</v>
      </c>
    </row>
    <row r="10" ht="15">
      <c r="B10" s="17" t="s">
        <v>28</v>
      </c>
      <c r="C10" s="15">
        <v>16</v>
      </c>
      <c r="D10" s="16">
        <v>1500</v>
      </c>
      <c r="E10" s="16">
        <f>D10*C10*J2</f>
        <v>240000</v>
      </c>
    </row>
    <row r="11" ht="15">
      <c r="B11" s="17" t="s">
        <v>29</v>
      </c>
      <c r="C11" s="15">
        <v>21</v>
      </c>
      <c r="D11" s="16">
        <v>400</v>
      </c>
      <c r="E11" s="16">
        <f>D11*C11*J2</f>
        <v>84000</v>
      </c>
    </row>
    <row r="12" ht="15">
      <c r="B12" s="17" t="s">
        <v>30</v>
      </c>
      <c r="C12" s="15">
        <v>21</v>
      </c>
      <c r="D12" s="16">
        <v>500</v>
      </c>
      <c r="E12" s="16">
        <f>D12*C12*J2</f>
        <v>105000</v>
      </c>
    </row>
    <row r="13" ht="15">
      <c r="B13" s="17" t="s">
        <v>31</v>
      </c>
      <c r="C13" s="15">
        <v>1</v>
      </c>
      <c r="D13" s="16">
        <v>600000</v>
      </c>
      <c r="E13" s="16">
        <f>D13*C13</f>
        <v>600000</v>
      </c>
    </row>
    <row r="14">
      <c r="B14" s="14"/>
      <c r="C14" s="15"/>
      <c r="D14" s="16"/>
      <c r="E14" s="16"/>
    </row>
    <row r="15">
      <c r="B15" s="14"/>
      <c r="C15" s="15"/>
      <c r="D15" s="16"/>
      <c r="E15" s="16"/>
    </row>
    <row r="16">
      <c r="B16" s="18" t="s">
        <v>32</v>
      </c>
      <c r="C16" s="6"/>
      <c r="D16" s="16"/>
      <c r="E16" s="16">
        <f>SUM(E3:E15)</f>
        <v>4467000</v>
      </c>
    </row>
  </sheetData>
  <mergeCells count="1">
    <mergeCell ref="B1:E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7" activeCellId="0" sqref="C7"/>
    </sheetView>
  </sheetViews>
  <sheetFormatPr baseColWidth="10" defaultRowHeight="14.25"/>
  <cols>
    <col bestFit="1" customWidth="1" min="2" max="2" width="33.140625"/>
    <col bestFit="1" min="3" max="3" style="1" width="12.00390625"/>
    <col bestFit="1" customWidth="1" min="4" max="4" width="17.28515625"/>
    <col bestFit="1" customWidth="1" min="5" max="5" width="13.57421875"/>
    <col bestFit="1" customWidth="1" min="6" max="6" width="14.57421875"/>
    <col bestFit="1" customWidth="1" min="7" max="7" width="15.85546875"/>
  </cols>
  <sheetData>
    <row r="2">
      <c r="B2" s="19" t="s">
        <v>33</v>
      </c>
      <c r="C2" s="20"/>
      <c r="D2" s="20"/>
      <c r="E2" s="20"/>
      <c r="F2" s="20"/>
      <c r="G2" s="20"/>
    </row>
    <row r="3">
      <c r="B3" s="12" t="s">
        <v>34</v>
      </c>
      <c r="C3" s="13" t="s">
        <v>3</v>
      </c>
      <c r="D3" s="13" t="s">
        <v>35</v>
      </c>
      <c r="E3" s="12" t="s">
        <v>36</v>
      </c>
      <c r="F3" s="12" t="s">
        <v>37</v>
      </c>
      <c r="G3" s="12" t="s">
        <v>38</v>
      </c>
    </row>
    <row r="4">
      <c r="B4" s="6" t="s">
        <v>39</v>
      </c>
      <c r="C4" s="16">
        <v>70000</v>
      </c>
      <c r="D4" s="21">
        <v>3</v>
      </c>
      <c r="E4" s="22">
        <f t="shared" ref="E4:E9" si="5">C4*D4</f>
        <v>210000</v>
      </c>
      <c r="F4" s="22">
        <f t="shared" ref="F4:F9" si="6">E4*G4</f>
        <v>1260000</v>
      </c>
      <c r="G4" s="23">
        <v>6</v>
      </c>
    </row>
    <row r="5">
      <c r="B5" s="6" t="s">
        <v>40</v>
      </c>
      <c r="C5" s="16">
        <v>65000</v>
      </c>
      <c r="D5" s="21">
        <v>1</v>
      </c>
      <c r="E5" s="22">
        <f t="shared" si="5"/>
        <v>65000</v>
      </c>
      <c r="F5" s="22">
        <f t="shared" si="6"/>
        <v>390000</v>
      </c>
      <c r="G5" s="23">
        <v>6</v>
      </c>
    </row>
    <row r="6">
      <c r="B6" s="6" t="s">
        <v>41</v>
      </c>
      <c r="C6" s="16">
        <v>90000</v>
      </c>
      <c r="D6" s="6">
        <v>1</v>
      </c>
      <c r="E6" s="22">
        <f t="shared" si="5"/>
        <v>90000</v>
      </c>
      <c r="F6" s="22">
        <f t="shared" si="6"/>
        <v>900000</v>
      </c>
      <c r="G6" s="23">
        <v>10</v>
      </c>
    </row>
    <row r="7">
      <c r="B7" s="6" t="s">
        <v>42</v>
      </c>
      <c r="C7" s="16">
        <v>90000</v>
      </c>
      <c r="D7" s="21">
        <v>8</v>
      </c>
      <c r="E7" s="22">
        <f t="shared" si="5"/>
        <v>720000</v>
      </c>
      <c r="F7" s="22">
        <f t="shared" si="6"/>
        <v>5760000</v>
      </c>
      <c r="G7" s="23">
        <v>8</v>
      </c>
    </row>
    <row r="8">
      <c r="B8" s="6" t="s">
        <v>43</v>
      </c>
      <c r="C8" s="16">
        <v>70000</v>
      </c>
      <c r="D8" s="21">
        <v>5</v>
      </c>
      <c r="E8" s="22">
        <f t="shared" si="5"/>
        <v>350000</v>
      </c>
      <c r="F8" s="22">
        <f t="shared" si="6"/>
        <v>2800000</v>
      </c>
      <c r="G8" s="23">
        <v>8</v>
      </c>
    </row>
    <row r="9">
      <c r="B9" s="6" t="s">
        <v>44</v>
      </c>
      <c r="C9" s="16">
        <v>140000</v>
      </c>
      <c r="D9" s="6">
        <v>1</v>
      </c>
      <c r="E9" s="22">
        <f t="shared" si="5"/>
        <v>140000</v>
      </c>
      <c r="F9" s="22">
        <f t="shared" si="6"/>
        <v>1400000</v>
      </c>
      <c r="G9" s="23">
        <v>10</v>
      </c>
    </row>
    <row r="10">
      <c r="B10" s="6" t="s">
        <v>45</v>
      </c>
      <c r="C10" s="16">
        <v>70000</v>
      </c>
      <c r="D10" s="6">
        <v>0</v>
      </c>
      <c r="E10" s="22">
        <f t="shared" ref="E10:E13" si="7">C10*D10</f>
        <v>0</v>
      </c>
      <c r="F10" s="22">
        <f t="shared" ref="F10:F13" si="8">E10*G10</f>
        <v>0</v>
      </c>
      <c r="G10" s="23"/>
    </row>
    <row r="11">
      <c r="B11" s="6" t="s">
        <v>46</v>
      </c>
      <c r="C11" s="16">
        <v>85000</v>
      </c>
      <c r="D11" s="6">
        <v>1</v>
      </c>
      <c r="E11" s="22">
        <f t="shared" si="7"/>
        <v>85000</v>
      </c>
      <c r="F11" s="22">
        <f t="shared" si="8"/>
        <v>850000</v>
      </c>
      <c r="G11" s="23">
        <v>10</v>
      </c>
    </row>
    <row r="12">
      <c r="B12" s="6" t="s">
        <v>47</v>
      </c>
      <c r="C12" s="16">
        <v>45000</v>
      </c>
      <c r="D12" s="6">
        <v>0</v>
      </c>
      <c r="E12" s="22">
        <f t="shared" si="7"/>
        <v>0</v>
      </c>
      <c r="F12" s="22">
        <f t="shared" si="8"/>
        <v>0</v>
      </c>
      <c r="G12" s="23"/>
    </row>
    <row r="13">
      <c r="B13" s="6" t="s">
        <v>48</v>
      </c>
      <c r="C13" s="16">
        <v>90000</v>
      </c>
      <c r="D13" s="6">
        <v>1</v>
      </c>
      <c r="E13" s="22">
        <f t="shared" si="7"/>
        <v>90000</v>
      </c>
      <c r="F13" s="22">
        <f t="shared" si="8"/>
        <v>720000</v>
      </c>
      <c r="G13" s="23">
        <v>8</v>
      </c>
    </row>
    <row r="14">
      <c r="B14" s="6"/>
      <c r="C14" s="16"/>
      <c r="D14" s="6"/>
      <c r="E14" s="22"/>
      <c r="F14" s="22"/>
      <c r="G14" s="23"/>
    </row>
    <row r="15">
      <c r="B15" s="6"/>
      <c r="C15" s="16"/>
      <c r="D15" s="6"/>
      <c r="E15" s="22"/>
      <c r="F15" s="22"/>
      <c r="G15" s="23"/>
    </row>
    <row r="16">
      <c r="B16" s="6"/>
      <c r="C16" s="16"/>
      <c r="D16" s="6"/>
      <c r="E16" s="6"/>
      <c r="F16" s="6"/>
      <c r="G16" s="23"/>
    </row>
    <row r="17">
      <c r="B17" s="6"/>
      <c r="C17" s="16"/>
      <c r="D17" s="6"/>
      <c r="E17" s="6"/>
      <c r="F17" s="6"/>
      <c r="G17" s="23"/>
    </row>
    <row r="18">
      <c r="B18" s="6" t="s">
        <v>32</v>
      </c>
      <c r="C18" s="16"/>
      <c r="D18" s="21">
        <f>SUM(D4:D17)</f>
        <v>21</v>
      </c>
      <c r="E18" s="22">
        <f>SUM(E4:E17)</f>
        <v>1750000</v>
      </c>
      <c r="F18" s="22">
        <f>SUM(F4:F17)</f>
        <v>14080000</v>
      </c>
      <c r="G18" s="22"/>
    </row>
  </sheetData>
  <mergeCells count="1">
    <mergeCell ref="B2:G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4" activeCellId="0" sqref="C4"/>
    </sheetView>
  </sheetViews>
  <sheetFormatPr baseColWidth="10" defaultRowHeight="14.25"/>
  <cols>
    <col bestFit="1" min="2" max="2" width="24.7109375"/>
    <col bestFit="1" min="4" max="5" style="1" width="13.57421875"/>
  </cols>
  <sheetData>
    <row r="2">
      <c r="B2" s="2" t="s">
        <v>49</v>
      </c>
      <c r="C2" s="2"/>
      <c r="D2" s="2"/>
      <c r="E2" s="2"/>
    </row>
    <row r="3">
      <c r="B3" s="12" t="s">
        <v>1</v>
      </c>
      <c r="C3" s="12" t="s">
        <v>50</v>
      </c>
      <c r="D3" s="13" t="s">
        <v>51</v>
      </c>
      <c r="E3" s="13" t="s">
        <v>14</v>
      </c>
    </row>
    <row r="4">
      <c r="B4" s="6" t="s">
        <v>52</v>
      </c>
      <c r="C4" s="6">
        <v>6</v>
      </c>
      <c r="D4" s="16">
        <v>150000</v>
      </c>
      <c r="E4" s="16">
        <f t="shared" ref="E4:E9" si="9">+D4*C4</f>
        <v>900000</v>
      </c>
    </row>
    <row r="5">
      <c r="B5" s="6" t="s">
        <v>53</v>
      </c>
      <c r="C5" s="6">
        <v>1</v>
      </c>
      <c r="D5" s="16">
        <v>1000000</v>
      </c>
      <c r="E5" s="16">
        <f t="shared" si="9"/>
        <v>1000000</v>
      </c>
    </row>
    <row r="6">
      <c r="B6" s="6" t="s">
        <v>54</v>
      </c>
      <c r="C6" s="6">
        <v>1</v>
      </c>
      <c r="D6" s="16">
        <v>500000</v>
      </c>
      <c r="E6" s="16">
        <f t="shared" si="9"/>
        <v>500000</v>
      </c>
    </row>
    <row r="7">
      <c r="B7" s="6" t="s">
        <v>55</v>
      </c>
      <c r="C7" s="6">
        <v>40</v>
      </c>
      <c r="D7" s="16">
        <v>10000</v>
      </c>
      <c r="E7" s="16">
        <f t="shared" si="9"/>
        <v>400000</v>
      </c>
    </row>
    <row r="8">
      <c r="B8" s="6" t="s">
        <v>56</v>
      </c>
      <c r="C8" s="6">
        <v>1</v>
      </c>
      <c r="D8" s="16">
        <v>700000</v>
      </c>
      <c r="E8" s="16">
        <f t="shared" si="9"/>
        <v>700000</v>
      </c>
    </row>
    <row r="9" ht="15">
      <c r="B9" s="6" t="s">
        <v>57</v>
      </c>
      <c r="C9" s="6">
        <v>8</v>
      </c>
      <c r="D9" s="16">
        <v>60000</v>
      </c>
      <c r="E9" s="16">
        <f t="shared" si="9"/>
        <v>480000</v>
      </c>
    </row>
    <row r="10">
      <c r="B10" s="6" t="s">
        <v>32</v>
      </c>
      <c r="C10" s="6"/>
      <c r="D10" s="16"/>
      <c r="E10" s="16">
        <f>SUM(E4:E9)</f>
        <v>3980000</v>
      </c>
    </row>
  </sheetData>
  <mergeCells count="1">
    <mergeCell ref="B2:E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6" activeCellId="0" sqref="E16"/>
    </sheetView>
  </sheetViews>
  <sheetFormatPr baseColWidth="10" defaultRowHeight="14.25"/>
  <cols>
    <col bestFit="1" customWidth="1" min="2" max="2" width="15.5703125"/>
    <col customWidth="1" min="3" max="3" style="1" width="19.85546875"/>
    <col bestFit="1" min="4" max="4" width="12.140625"/>
  </cols>
  <sheetData>
    <row r="2">
      <c r="B2" s="20" t="s">
        <v>58</v>
      </c>
      <c r="C2" s="20"/>
    </row>
    <row r="3">
      <c r="B3" s="12" t="s">
        <v>59</v>
      </c>
      <c r="C3" s="13" t="s">
        <v>51</v>
      </c>
      <c r="D3" s="13" t="s">
        <v>60</v>
      </c>
      <c r="E3" s="13" t="s">
        <v>61</v>
      </c>
    </row>
    <row r="4">
      <c r="B4" s="6" t="s">
        <v>62</v>
      </c>
      <c r="C4" s="16">
        <f>+'Costos Indirectos'!E19*'Hw&amp;SW'!J3*'Hw&amp;SW'!J2</f>
        <v>3370000</v>
      </c>
    </row>
    <row r="5">
      <c r="B5" s="6" t="s">
        <v>15</v>
      </c>
      <c r="C5" s="16">
        <f>+'Hw&amp;SW'!E16</f>
        <v>4467000</v>
      </c>
    </row>
    <row r="6">
      <c r="B6" s="6" t="s">
        <v>33</v>
      </c>
      <c r="C6" s="16">
        <f>+Sueldos!F18</f>
        <v>14080000</v>
      </c>
    </row>
    <row r="7">
      <c r="B7" s="6" t="s">
        <v>63</v>
      </c>
      <c r="C7" s="16">
        <f>+Otros!E10</f>
        <v>3980000</v>
      </c>
    </row>
    <row r="8">
      <c r="B8" s="6" t="s">
        <v>37</v>
      </c>
      <c r="C8" s="16">
        <f>SUM(C4:C6)</f>
        <v>21917000</v>
      </c>
    </row>
    <row r="9">
      <c r="B9" s="6" t="s">
        <v>64</v>
      </c>
      <c r="C9" s="16">
        <f>B15-C8</f>
        <v>11877760</v>
      </c>
      <c r="D9" s="6">
        <f>C9/B15</f>
        <v>0.35146750561329626</v>
      </c>
      <c r="E9" s="6"/>
    </row>
    <row r="10">
      <c r="B10" s="6" t="s">
        <v>65</v>
      </c>
      <c r="C10" s="16">
        <f>+C9+C8</f>
        <v>33794760</v>
      </c>
      <c r="D10" s="6"/>
      <c r="E10" s="21">
        <f>+DistribuciónEsfuerzo!C23</f>
        <v>7.5345654999999985</v>
      </c>
    </row>
    <row r="13" ht="14.25">
      <c r="B13" s="12" t="s">
        <v>66</v>
      </c>
      <c r="C13" s="12" t="s">
        <v>61</v>
      </c>
    </row>
    <row r="14" ht="14.25">
      <c r="B14" s="24" t="s">
        <v>67</v>
      </c>
      <c r="C14" s="6">
        <v>10</v>
      </c>
    </row>
    <row r="15" ht="14.25">
      <c r="B15" s="24">
        <v>33794760</v>
      </c>
      <c r="C15" s="6"/>
    </row>
  </sheetData>
  <mergeCells count="1">
    <mergeCell ref="B2:C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48" activeCellId="0" sqref="E48"/>
    </sheetView>
  </sheetViews>
  <sheetFormatPr baseColWidth="10" defaultRowHeight="14.25"/>
  <cols>
    <col customWidth="1" min="1" max="1" style="9" width="46.5703125"/>
    <col customWidth="1" min="2" max="2" style="25" width="39.42578125"/>
    <col customWidth="1" min="3" max="3" style="26" width="10.42578125"/>
    <col customWidth="1" min="4" max="4" style="27" width="15.5703125"/>
    <col customWidth="1" min="5" max="5" width="15.5703125"/>
    <col customWidth="1" min="6" max="6" style="27" width="26.85546875"/>
    <col customWidth="1" min="7" max="7" width="12"/>
  </cols>
  <sheetData>
    <row r="1" ht="25.5" customHeight="1">
      <c r="A1" s="28" t="s">
        <v>68</v>
      </c>
      <c r="B1" s="28"/>
      <c r="C1" s="28"/>
      <c r="D1" s="28"/>
      <c r="E1" s="28"/>
      <c r="F1" s="28"/>
    </row>
    <row r="2" ht="15.75">
      <c r="A2" s="29"/>
      <c r="B2" s="30"/>
      <c r="C2" s="31"/>
      <c r="D2" s="32"/>
      <c r="E2" s="33"/>
      <c r="F2" s="32"/>
    </row>
    <row r="3" s="34" customFormat="1" ht="13.5">
      <c r="A3" s="35" t="s">
        <v>69</v>
      </c>
      <c r="B3" s="36" t="s">
        <v>1</v>
      </c>
      <c r="C3" s="37" t="s">
        <v>70</v>
      </c>
      <c r="D3" s="38" t="s">
        <v>16</v>
      </c>
      <c r="E3" s="39" t="s">
        <v>71</v>
      </c>
      <c r="F3" s="40" t="s">
        <v>72</v>
      </c>
    </row>
    <row r="4">
      <c r="A4" s="41" t="s">
        <v>73</v>
      </c>
      <c r="B4" s="42" t="s">
        <v>74</v>
      </c>
      <c r="C4" s="43">
        <v>1</v>
      </c>
      <c r="D4" s="44">
        <v>2</v>
      </c>
      <c r="E4" s="45">
        <f t="shared" ref="E4:E6" si="10">C4*D4</f>
        <v>2</v>
      </c>
      <c r="F4" s="46"/>
    </row>
    <row r="5">
      <c r="A5" s="47" t="s">
        <v>75</v>
      </c>
      <c r="B5" s="48" t="s">
        <v>76</v>
      </c>
      <c r="C5" s="49">
        <v>2</v>
      </c>
      <c r="D5" s="50">
        <v>3</v>
      </c>
      <c r="E5" s="51">
        <f t="shared" si="10"/>
        <v>6</v>
      </c>
      <c r="F5" s="52"/>
    </row>
    <row r="6" ht="15.75">
      <c r="A6" s="53" t="s">
        <v>77</v>
      </c>
      <c r="B6" s="54" t="s">
        <v>78</v>
      </c>
      <c r="C6" s="55">
        <v>3</v>
      </c>
      <c r="D6" s="56">
        <v>5</v>
      </c>
      <c r="E6" s="57">
        <f t="shared" si="10"/>
        <v>15</v>
      </c>
      <c r="F6" s="58"/>
    </row>
    <row r="7" ht="15.75">
      <c r="A7" s="35" t="s">
        <v>79</v>
      </c>
      <c r="B7" s="36"/>
      <c r="C7" s="37"/>
      <c r="D7" s="59"/>
      <c r="E7" s="39">
        <f>SUM(E4:E6)</f>
        <v>23</v>
      </c>
      <c r="F7" s="60"/>
    </row>
    <row r="8" ht="15.75">
      <c r="A8" s="29"/>
      <c r="B8" s="30"/>
      <c r="C8" s="31"/>
      <c r="D8" s="32"/>
      <c r="E8" s="33"/>
      <c r="F8" s="32"/>
    </row>
    <row r="9" s="34" customFormat="1" ht="25.5">
      <c r="A9" s="35" t="s">
        <v>80</v>
      </c>
      <c r="B9" s="36"/>
      <c r="C9" s="37" t="s">
        <v>70</v>
      </c>
      <c r="D9" s="38" t="s">
        <v>16</v>
      </c>
      <c r="E9" s="39" t="s">
        <v>71</v>
      </c>
      <c r="F9" s="40" t="s">
        <v>72</v>
      </c>
    </row>
    <row r="10">
      <c r="A10" s="41" t="s">
        <v>73</v>
      </c>
      <c r="B10" s="42" t="s">
        <v>81</v>
      </c>
      <c r="C10" s="43">
        <v>5</v>
      </c>
      <c r="D10" s="44">
        <v>1</v>
      </c>
      <c r="E10" s="45">
        <f t="shared" ref="E10:E12" si="11">C10*D10</f>
        <v>5</v>
      </c>
      <c r="F10" s="46"/>
    </row>
    <row r="11">
      <c r="A11" s="47" t="s">
        <v>75</v>
      </c>
      <c r="B11" s="48" t="s">
        <v>82</v>
      </c>
      <c r="C11" s="49">
        <v>10</v>
      </c>
      <c r="D11" s="50">
        <v>9</v>
      </c>
      <c r="E11" s="51">
        <f t="shared" si="11"/>
        <v>90</v>
      </c>
      <c r="F11" s="52"/>
    </row>
    <row r="12" ht="15.75">
      <c r="A12" s="53" t="s">
        <v>77</v>
      </c>
      <c r="B12" s="54" t="s">
        <v>83</v>
      </c>
      <c r="C12" s="55">
        <v>15</v>
      </c>
      <c r="D12" s="56">
        <v>0</v>
      </c>
      <c r="E12" s="57">
        <f t="shared" si="11"/>
        <v>0</v>
      </c>
      <c r="F12" s="58"/>
    </row>
    <row r="13" ht="15.75">
      <c r="A13" s="35" t="s">
        <v>84</v>
      </c>
      <c r="B13" s="36"/>
      <c r="C13" s="37"/>
      <c r="D13" s="59"/>
      <c r="E13" s="39">
        <f>SUM(E10:E12)</f>
        <v>95</v>
      </c>
      <c r="F13" s="60"/>
    </row>
    <row r="14" ht="15.75">
      <c r="A14" s="29"/>
      <c r="B14" s="30"/>
      <c r="C14" s="31"/>
      <c r="D14" s="32"/>
      <c r="E14" s="33"/>
      <c r="F14" s="32"/>
    </row>
    <row r="15" ht="15.75">
      <c r="A15" s="61" t="s">
        <v>85</v>
      </c>
      <c r="B15" s="62"/>
      <c r="C15" s="63"/>
      <c r="D15" s="64"/>
      <c r="E15" s="65">
        <f>TAW+TBF</f>
        <v>118</v>
      </c>
      <c r="F15" s="66"/>
    </row>
    <row r="16" ht="15.75">
      <c r="A16" s="29"/>
      <c r="B16" s="30"/>
      <c r="C16" s="31"/>
      <c r="D16" s="32"/>
      <c r="E16" s="33"/>
      <c r="F16" s="32"/>
    </row>
    <row r="17" s="34" customFormat="1" ht="13.5">
      <c r="A17" s="35" t="s">
        <v>86</v>
      </c>
      <c r="B17" s="36" t="s">
        <v>87</v>
      </c>
      <c r="C17" s="37" t="s">
        <v>70</v>
      </c>
      <c r="D17" s="38" t="s">
        <v>16</v>
      </c>
      <c r="E17" s="39" t="s">
        <v>71</v>
      </c>
      <c r="F17" s="40" t="s">
        <v>88</v>
      </c>
    </row>
    <row r="18">
      <c r="A18" s="41" t="s">
        <v>89</v>
      </c>
      <c r="B18" s="42" t="s">
        <v>90</v>
      </c>
      <c r="C18" s="67">
        <v>2</v>
      </c>
      <c r="D18" s="44">
        <v>5</v>
      </c>
      <c r="E18" s="45">
        <f t="shared" ref="E18:E30" si="12">C18*D18</f>
        <v>10</v>
      </c>
      <c r="F18" s="46"/>
    </row>
    <row r="19">
      <c r="A19" s="47" t="s">
        <v>91</v>
      </c>
      <c r="B19" s="48" t="s">
        <v>90</v>
      </c>
      <c r="C19" s="68">
        <v>1</v>
      </c>
      <c r="D19" s="50">
        <v>4</v>
      </c>
      <c r="E19" s="51">
        <f t="shared" si="12"/>
        <v>4</v>
      </c>
      <c r="F19" s="52"/>
    </row>
    <row r="20">
      <c r="A20" s="47" t="s">
        <v>92</v>
      </c>
      <c r="B20" s="48" t="s">
        <v>90</v>
      </c>
      <c r="C20" s="68">
        <v>1</v>
      </c>
      <c r="D20" s="50">
        <v>5</v>
      </c>
      <c r="E20" s="51">
        <f t="shared" si="12"/>
        <v>5</v>
      </c>
      <c r="F20" s="52"/>
    </row>
    <row r="21">
      <c r="A21" s="47" t="s">
        <v>93</v>
      </c>
      <c r="B21" s="48" t="s">
        <v>90</v>
      </c>
      <c r="C21" s="68">
        <v>1</v>
      </c>
      <c r="D21" s="50">
        <v>4</v>
      </c>
      <c r="E21" s="51">
        <f t="shared" si="12"/>
        <v>4</v>
      </c>
      <c r="F21" s="52"/>
    </row>
    <row r="22">
      <c r="A22" s="47" t="s">
        <v>94</v>
      </c>
      <c r="B22" s="48" t="s">
        <v>90</v>
      </c>
      <c r="C22" s="68">
        <v>1</v>
      </c>
      <c r="D22" s="50">
        <v>5</v>
      </c>
      <c r="E22" s="51">
        <f t="shared" si="12"/>
        <v>5</v>
      </c>
      <c r="F22" s="52"/>
    </row>
    <row r="23">
      <c r="A23" s="47" t="s">
        <v>95</v>
      </c>
      <c r="B23" s="48" t="s">
        <v>90</v>
      </c>
      <c r="C23" s="68">
        <v>0.5</v>
      </c>
      <c r="D23" s="50">
        <v>3</v>
      </c>
      <c r="E23" s="51">
        <f t="shared" si="12"/>
        <v>1.5</v>
      </c>
      <c r="F23" s="52"/>
    </row>
    <row r="24">
      <c r="A24" s="47" t="s">
        <v>96</v>
      </c>
      <c r="B24" s="48" t="s">
        <v>90</v>
      </c>
      <c r="C24" s="68">
        <v>0.5</v>
      </c>
      <c r="D24" s="50">
        <v>5</v>
      </c>
      <c r="E24" s="51">
        <f t="shared" si="12"/>
        <v>2.5</v>
      </c>
      <c r="F24" s="52"/>
    </row>
    <row r="25">
      <c r="A25" s="47" t="s">
        <v>97</v>
      </c>
      <c r="B25" s="48" t="s">
        <v>90</v>
      </c>
      <c r="C25" s="68">
        <v>2</v>
      </c>
      <c r="D25" s="50">
        <v>4</v>
      </c>
      <c r="E25" s="51">
        <f t="shared" si="12"/>
        <v>8</v>
      </c>
      <c r="F25" s="52"/>
    </row>
    <row r="26">
      <c r="A26" s="47" t="s">
        <v>98</v>
      </c>
      <c r="B26" s="48" t="s">
        <v>90</v>
      </c>
      <c r="C26" s="68">
        <v>1</v>
      </c>
      <c r="D26" s="50">
        <v>5</v>
      </c>
      <c r="E26" s="51">
        <f t="shared" si="12"/>
        <v>5</v>
      </c>
      <c r="F26" s="52"/>
    </row>
    <row r="27">
      <c r="A27" s="47" t="s">
        <v>99</v>
      </c>
      <c r="B27" s="48" t="s">
        <v>90</v>
      </c>
      <c r="C27" s="68">
        <v>1</v>
      </c>
      <c r="D27" s="50">
        <v>5</v>
      </c>
      <c r="E27" s="51">
        <f t="shared" si="12"/>
        <v>5</v>
      </c>
      <c r="F27" s="52"/>
    </row>
    <row r="28">
      <c r="A28" s="47" t="s">
        <v>100</v>
      </c>
      <c r="B28" s="48" t="s">
        <v>90</v>
      </c>
      <c r="C28" s="68">
        <v>1</v>
      </c>
      <c r="D28" s="50">
        <v>5</v>
      </c>
      <c r="E28" s="51">
        <f t="shared" si="12"/>
        <v>5</v>
      </c>
      <c r="F28" s="52"/>
    </row>
    <row r="29">
      <c r="A29" s="47" t="s">
        <v>101</v>
      </c>
      <c r="B29" s="48" t="s">
        <v>90</v>
      </c>
      <c r="C29" s="68">
        <v>1</v>
      </c>
      <c r="D29" s="50">
        <v>5</v>
      </c>
      <c r="E29" s="51">
        <f t="shared" si="12"/>
        <v>5</v>
      </c>
      <c r="F29" s="52"/>
    </row>
    <row r="30" ht="25.5">
      <c r="A30" s="53" t="s">
        <v>102</v>
      </c>
      <c r="B30" s="54" t="s">
        <v>90</v>
      </c>
      <c r="C30" s="69">
        <v>1</v>
      </c>
      <c r="D30" s="56">
        <v>0</v>
      </c>
      <c r="E30" s="57">
        <f t="shared" si="12"/>
        <v>0</v>
      </c>
      <c r="F30" s="58"/>
    </row>
    <row r="31" ht="15.75">
      <c r="A31" s="35" t="s">
        <v>103</v>
      </c>
      <c r="B31" s="36"/>
      <c r="C31" s="37"/>
      <c r="D31" s="59"/>
      <c r="E31" s="70">
        <f>SUM(E18:E30)</f>
        <v>60</v>
      </c>
      <c r="F31" s="60"/>
    </row>
    <row r="32" ht="15.75">
      <c r="A32" s="71" t="s">
        <v>104</v>
      </c>
      <c r="B32" s="72" t="s">
        <v>105</v>
      </c>
      <c r="C32" s="73"/>
      <c r="D32" s="74"/>
      <c r="E32" s="75">
        <f>0.01*E31+0.06</f>
        <v>0.65999999999999992</v>
      </c>
      <c r="F32" s="76"/>
    </row>
    <row r="33" ht="15.75">
      <c r="A33" s="29"/>
      <c r="B33" s="30"/>
      <c r="C33" s="31"/>
      <c r="D33" s="32"/>
      <c r="E33" s="33"/>
      <c r="F33" s="32"/>
    </row>
    <row r="34" s="34" customFormat="1" ht="25.5">
      <c r="A34" s="35" t="s">
        <v>106</v>
      </c>
      <c r="B34" s="36" t="s">
        <v>107</v>
      </c>
      <c r="C34" s="37" t="s">
        <v>70</v>
      </c>
      <c r="D34" s="38" t="s">
        <v>16</v>
      </c>
      <c r="E34" s="39" t="s">
        <v>71</v>
      </c>
      <c r="F34" s="38" t="s">
        <v>88</v>
      </c>
      <c r="G34" s="40" t="s">
        <v>108</v>
      </c>
    </row>
    <row r="35">
      <c r="A35" s="77" t="s">
        <v>109</v>
      </c>
      <c r="B35" s="42" t="s">
        <v>110</v>
      </c>
      <c r="C35" s="67">
        <v>1.5</v>
      </c>
      <c r="D35" s="44">
        <v>3</v>
      </c>
      <c r="E35" s="45">
        <f t="shared" ref="E35:E42" si="13">C35*D35</f>
        <v>4.5</v>
      </c>
      <c r="F35" s="44"/>
      <c r="G35" s="78">
        <f t="shared" ref="G35:G40" si="14">IF(E35&lt;3,1,0)</f>
        <v>0</v>
      </c>
    </row>
    <row r="36">
      <c r="A36" s="79" t="s">
        <v>111</v>
      </c>
      <c r="B36" s="48" t="s">
        <v>110</v>
      </c>
      <c r="C36" s="68">
        <v>0.5</v>
      </c>
      <c r="D36" s="50">
        <v>3</v>
      </c>
      <c r="E36" s="51">
        <f t="shared" si="13"/>
        <v>1.5</v>
      </c>
      <c r="F36" s="50"/>
      <c r="G36" s="6">
        <f t="shared" si="14"/>
        <v>1</v>
      </c>
    </row>
    <row r="37">
      <c r="A37" s="79" t="s">
        <v>112</v>
      </c>
      <c r="B37" s="48" t="s">
        <v>110</v>
      </c>
      <c r="C37" s="68">
        <v>1</v>
      </c>
      <c r="D37" s="50">
        <v>2</v>
      </c>
      <c r="E37" s="51">
        <f t="shared" si="13"/>
        <v>2</v>
      </c>
      <c r="F37" s="50"/>
      <c r="G37" s="6">
        <f t="shared" si="14"/>
        <v>1</v>
      </c>
    </row>
    <row r="38">
      <c r="A38" s="79" t="s">
        <v>113</v>
      </c>
      <c r="B38" s="48" t="s">
        <v>110</v>
      </c>
      <c r="C38" s="68">
        <v>0.5</v>
      </c>
      <c r="D38" s="50">
        <v>4</v>
      </c>
      <c r="E38" s="51">
        <f t="shared" si="13"/>
        <v>2</v>
      </c>
      <c r="F38" s="50"/>
      <c r="G38" s="6">
        <f t="shared" si="14"/>
        <v>1</v>
      </c>
    </row>
    <row r="39">
      <c r="A39" s="79" t="s">
        <v>114</v>
      </c>
      <c r="B39" s="48" t="s">
        <v>115</v>
      </c>
      <c r="C39" s="68">
        <v>1</v>
      </c>
      <c r="D39" s="50">
        <v>5</v>
      </c>
      <c r="E39" s="51">
        <f t="shared" si="13"/>
        <v>5</v>
      </c>
      <c r="F39" s="50"/>
      <c r="G39" s="6">
        <f t="shared" si="14"/>
        <v>0</v>
      </c>
    </row>
    <row r="40">
      <c r="A40" s="79" t="s">
        <v>116</v>
      </c>
      <c r="B40" s="48" t="s">
        <v>117</v>
      </c>
      <c r="C40" s="68">
        <v>2</v>
      </c>
      <c r="D40" s="50">
        <v>2</v>
      </c>
      <c r="E40" s="51">
        <f t="shared" si="13"/>
        <v>4</v>
      </c>
      <c r="F40" s="50"/>
      <c r="G40" s="6">
        <f t="shared" si="14"/>
        <v>0</v>
      </c>
    </row>
    <row r="41">
      <c r="A41" s="79" t="s">
        <v>118</v>
      </c>
      <c r="B41" s="48" t="s">
        <v>119</v>
      </c>
      <c r="C41" s="68">
        <v>-1</v>
      </c>
      <c r="D41" s="50">
        <v>5</v>
      </c>
      <c r="E41" s="51">
        <f t="shared" si="13"/>
        <v>-5</v>
      </c>
      <c r="F41" s="50"/>
      <c r="G41" s="6">
        <f t="shared" ref="G41:G42" si="15">IF(E41&gt;3,1,0)</f>
        <v>0</v>
      </c>
    </row>
    <row r="42" ht="15.75">
      <c r="A42" s="80" t="s">
        <v>120</v>
      </c>
      <c r="B42" s="54" t="s">
        <v>121</v>
      </c>
      <c r="C42" s="69" t="s">
        <v>122</v>
      </c>
      <c r="D42" s="56">
        <v>3</v>
      </c>
      <c r="E42" s="57">
        <f t="shared" si="13"/>
        <v>-3</v>
      </c>
      <c r="F42" s="56"/>
      <c r="G42" s="81">
        <f t="shared" si="15"/>
        <v>0</v>
      </c>
    </row>
    <row r="43" ht="15.75">
      <c r="A43" s="35" t="s">
        <v>123</v>
      </c>
      <c r="B43" s="36"/>
      <c r="C43" s="37"/>
      <c r="D43" s="59"/>
      <c r="E43" s="70">
        <f>SUM(E35:E42)</f>
        <v>11</v>
      </c>
      <c r="F43" s="59"/>
      <c r="G43" s="82">
        <f>SUM(G35:G42)</f>
        <v>3</v>
      </c>
    </row>
    <row r="44" ht="15.75">
      <c r="A44" s="35" t="s">
        <v>124</v>
      </c>
      <c r="B44" s="36" t="s">
        <v>125</v>
      </c>
      <c r="C44" s="37"/>
      <c r="D44" s="59"/>
      <c r="E44" s="70">
        <f>1.4 + (-0.03*E43)</f>
        <v>1.0699999999999998</v>
      </c>
      <c r="F44" s="83"/>
      <c r="G44" s="82"/>
    </row>
    <row r="45" ht="15.75">
      <c r="A45" s="29"/>
      <c r="B45" s="30"/>
      <c r="C45" s="31"/>
      <c r="D45" s="32"/>
      <c r="E45" s="33"/>
      <c r="F45" s="32"/>
    </row>
    <row r="46">
      <c r="A46" s="84" t="s">
        <v>126</v>
      </c>
      <c r="B46" s="85"/>
      <c r="C46" s="86"/>
      <c r="D46" s="87"/>
      <c r="E46" s="88">
        <f>UUCP * TCF *EF</f>
        <v>83.33159999999998</v>
      </c>
      <c r="F46" s="89"/>
    </row>
    <row r="47">
      <c r="A47" s="90" t="s">
        <v>127</v>
      </c>
      <c r="B47" s="91"/>
      <c r="C47" s="92"/>
      <c r="D47" s="93"/>
      <c r="E47" s="94">
        <v>40</v>
      </c>
      <c r="F47" s="95"/>
    </row>
    <row r="48" ht="15.75">
      <c r="A48" s="90" t="s">
        <v>128</v>
      </c>
      <c r="B48" s="91"/>
      <c r="C48" s="92"/>
      <c r="D48" s="93"/>
      <c r="E48" s="96">
        <f>E46*E47</f>
        <v>3333.2639999999992</v>
      </c>
      <c r="F48" s="95"/>
    </row>
    <row r="49">
      <c r="A49" s="90" t="s">
        <v>129</v>
      </c>
      <c r="B49" s="91"/>
      <c r="C49" s="92"/>
      <c r="D49" s="93"/>
      <c r="E49" s="97">
        <v>0.40000000000000002</v>
      </c>
      <c r="F49" s="95" t="s">
        <v>130</v>
      </c>
    </row>
    <row r="50" ht="15.75">
      <c r="A50" s="98" t="s">
        <v>131</v>
      </c>
      <c r="B50" s="99"/>
      <c r="C50" s="100"/>
      <c r="D50" s="101"/>
      <c r="E50" s="96">
        <f>E48*(1+E49)</f>
        <v>4666.5695999999989</v>
      </c>
      <c r="F50" s="102"/>
    </row>
  </sheetData>
  <mergeCells count="1">
    <mergeCell ref="A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100" workbookViewId="0">
      <selection activeCell="A1" activeCellId="0" sqref="A1:C1"/>
    </sheetView>
  </sheetViews>
  <sheetFormatPr baseColWidth="10" defaultRowHeight="14.25"/>
  <cols>
    <col bestFit="1" customWidth="1" min="1" max="1" width="20.42578125"/>
    <col bestFit="1" customWidth="1" min="2" max="2" width="11.7109375"/>
    <col customWidth="1" min="3" max="3" style="103" width="13.5703125"/>
    <col bestFit="1" customWidth="1" min="5" max="5" width="19.5703125"/>
    <col bestFit="1" customWidth="1" min="8" max="8" width="18.140625"/>
    <col bestFit="1" customWidth="1" min="10" max="10" width="17.140625"/>
  </cols>
  <sheetData>
    <row r="1">
      <c r="A1" s="104" t="s">
        <v>132</v>
      </c>
      <c r="B1" s="105"/>
      <c r="C1" s="105"/>
    </row>
    <row r="2">
      <c r="A2" s="106" t="s">
        <v>133</v>
      </c>
      <c r="B2" s="12" t="s">
        <v>134</v>
      </c>
      <c r="C2" s="107" t="s">
        <v>135</v>
      </c>
      <c r="E2" s="106" t="s">
        <v>136</v>
      </c>
      <c r="F2" s="106" t="s">
        <v>137</v>
      </c>
      <c r="G2" s="106" t="s">
        <v>138</v>
      </c>
      <c r="H2" s="106" t="s">
        <v>139</v>
      </c>
      <c r="I2" s="106" t="s">
        <v>140</v>
      </c>
    </row>
    <row r="3">
      <c r="A3" s="6" t="s">
        <v>141</v>
      </c>
      <c r="B3" s="108">
        <v>0.25</v>
      </c>
      <c r="C3" s="109">
        <f>+C7*B3</f>
        <v>1166.6423999999997</v>
      </c>
      <c r="E3" s="109">
        <f t="shared" ref="E3:E10" si="16">+$C$7</f>
        <v>4666.5695999999989</v>
      </c>
      <c r="F3" s="6">
        <v>160</v>
      </c>
      <c r="G3" s="6">
        <f t="shared" ref="G3:G10" si="17">+E3/F3</f>
        <v>29.166059999999995</v>
      </c>
      <c r="H3" s="6">
        <v>2</v>
      </c>
      <c r="I3" s="6">
        <f t="shared" ref="I3:I10" si="18">+G3/H3</f>
        <v>14.583029999999997</v>
      </c>
    </row>
    <row r="4">
      <c r="A4" s="6" t="s">
        <v>142</v>
      </c>
      <c r="B4" s="108">
        <v>0.20000000000000001</v>
      </c>
      <c r="C4" s="109">
        <f>+C7*B4</f>
        <v>933.31391999999983</v>
      </c>
      <c r="E4" s="109">
        <f t="shared" si="16"/>
        <v>4666.5695999999989</v>
      </c>
      <c r="F4" s="6">
        <v>160</v>
      </c>
      <c r="G4" s="6">
        <f t="shared" si="17"/>
        <v>29.166059999999995</v>
      </c>
      <c r="H4" s="6">
        <v>3</v>
      </c>
      <c r="I4" s="6">
        <f t="shared" si="18"/>
        <v>9.7220199999999988</v>
      </c>
    </row>
    <row r="5">
      <c r="A5" s="6" t="s">
        <v>143</v>
      </c>
      <c r="B5" s="108">
        <v>0.34999999999999998</v>
      </c>
      <c r="C5" s="109">
        <f>+C7*B5</f>
        <v>1633.2993599999995</v>
      </c>
      <c r="E5" s="109">
        <f t="shared" si="16"/>
        <v>4666.5695999999989</v>
      </c>
      <c r="F5" s="6">
        <v>160</v>
      </c>
      <c r="G5" s="6">
        <f t="shared" si="17"/>
        <v>29.166059999999995</v>
      </c>
      <c r="H5" s="6">
        <v>4</v>
      </c>
      <c r="I5" s="6">
        <f t="shared" si="18"/>
        <v>7.2915149999999986</v>
      </c>
    </row>
    <row r="6">
      <c r="A6" s="6" t="s">
        <v>144</v>
      </c>
      <c r="B6" s="108">
        <v>0.20000000000000001</v>
      </c>
      <c r="C6" s="109">
        <f>+C7*B6</f>
        <v>933.31391999999983</v>
      </c>
      <c r="E6" s="109">
        <f t="shared" si="16"/>
        <v>4666.5695999999989</v>
      </c>
      <c r="F6" s="6">
        <v>160</v>
      </c>
      <c r="G6" s="6">
        <f t="shared" si="17"/>
        <v>29.166059999999995</v>
      </c>
      <c r="H6" s="6">
        <v>5</v>
      </c>
      <c r="I6" s="6">
        <f t="shared" si="18"/>
        <v>5.8332119999999987</v>
      </c>
    </row>
    <row r="7">
      <c r="A7" s="6" t="s">
        <v>14</v>
      </c>
      <c r="B7" s="108">
        <f>SUM(B3:B6)</f>
        <v>1</v>
      </c>
      <c r="C7" s="110">
        <f>+UUCP!E50</f>
        <v>4666.5695999999989</v>
      </c>
      <c r="E7" s="109">
        <f t="shared" si="16"/>
        <v>4666.5695999999989</v>
      </c>
      <c r="F7" s="6">
        <v>160</v>
      </c>
      <c r="G7" s="6">
        <f t="shared" si="17"/>
        <v>29.166059999999995</v>
      </c>
      <c r="H7" s="6">
        <v>6</v>
      </c>
      <c r="I7" s="6">
        <f t="shared" si="18"/>
        <v>4.8610099999999994</v>
      </c>
    </row>
    <row r="8">
      <c r="E8" s="109">
        <f t="shared" si="16"/>
        <v>4666.5695999999989</v>
      </c>
      <c r="F8" s="6">
        <v>160</v>
      </c>
      <c r="G8" s="6">
        <f t="shared" si="17"/>
        <v>29.166059999999995</v>
      </c>
      <c r="H8" s="6">
        <v>7</v>
      </c>
      <c r="I8" s="6">
        <f t="shared" si="18"/>
        <v>4.1665799999999988</v>
      </c>
    </row>
    <row r="9">
      <c r="A9" s="33" t="s">
        <v>145</v>
      </c>
      <c r="E9" s="109">
        <f t="shared" si="16"/>
        <v>4666.5695999999989</v>
      </c>
      <c r="F9" s="6">
        <v>160</v>
      </c>
      <c r="G9" s="6">
        <f t="shared" si="17"/>
        <v>29.166059999999995</v>
      </c>
      <c r="H9" s="6">
        <v>8</v>
      </c>
      <c r="I9" s="6">
        <f t="shared" si="18"/>
        <v>3.6457574999999993</v>
      </c>
    </row>
    <row r="10">
      <c r="A10" s="94" t="s">
        <v>133</v>
      </c>
      <c r="B10" s="94" t="s">
        <v>146</v>
      </c>
      <c r="E10" s="109">
        <f t="shared" si="16"/>
        <v>4666.5695999999989</v>
      </c>
      <c r="F10" s="6">
        <v>160</v>
      </c>
      <c r="G10" s="6">
        <f t="shared" si="17"/>
        <v>29.166059999999995</v>
      </c>
      <c r="H10" s="6">
        <v>9</v>
      </c>
      <c r="I10" s="6">
        <f t="shared" si="18"/>
        <v>3.2406733333333326</v>
      </c>
    </row>
    <row r="11">
      <c r="A11" s="6" t="s">
        <v>141</v>
      </c>
      <c r="B11" s="109">
        <f>+K16</f>
        <v>510406.04999999993</v>
      </c>
    </row>
    <row r="12">
      <c r="A12" s="6" t="s">
        <v>142</v>
      </c>
      <c r="B12" s="109">
        <f>+K28</f>
        <v>379158.77999999991</v>
      </c>
    </row>
    <row r="13">
      <c r="A13" s="6" t="s">
        <v>143</v>
      </c>
      <c r="B13" s="111">
        <f>+K39</f>
        <v>918730.88999999966</v>
      </c>
      <c r="E13" s="104" t="s">
        <v>141</v>
      </c>
      <c r="F13" s="104"/>
      <c r="G13" s="104"/>
      <c r="H13" s="104"/>
      <c r="I13" s="104"/>
      <c r="J13" s="104"/>
      <c r="K13" s="104"/>
    </row>
    <row r="14">
      <c r="A14" s="6" t="s">
        <v>144</v>
      </c>
      <c r="B14" s="109">
        <f>+K54</f>
        <v>408324.83999999991</v>
      </c>
      <c r="E14" s="106" t="s">
        <v>136</v>
      </c>
      <c r="F14" s="106" t="s">
        <v>137</v>
      </c>
      <c r="G14" s="106" t="s">
        <v>138</v>
      </c>
      <c r="H14" s="106" t="s">
        <v>139</v>
      </c>
      <c r="I14" s="106" t="s">
        <v>140</v>
      </c>
      <c r="J14" s="106" t="s">
        <v>147</v>
      </c>
      <c r="K14" s="106" t="s">
        <v>148</v>
      </c>
    </row>
    <row r="15">
      <c r="A15" s="6" t="s">
        <v>14</v>
      </c>
      <c r="B15" s="110">
        <f>SUM(B11:B14)</f>
        <v>2216620.5599999996</v>
      </c>
      <c r="E15" s="109">
        <f t="shared" ref="E15:E23" si="19">+$C$3</f>
        <v>1166.6423999999997</v>
      </c>
      <c r="F15" s="109">
        <v>160</v>
      </c>
      <c r="G15" s="6">
        <f t="shared" ref="G15:G47" si="20">+E15/F15</f>
        <v>7.2915149999999986</v>
      </c>
      <c r="H15" s="112">
        <v>1</v>
      </c>
      <c r="I15" s="6">
        <f t="shared" ref="I15:I47" si="21">+G15/H15</f>
        <v>7.2915149999999986</v>
      </c>
      <c r="J15" s="109">
        <v>70000</v>
      </c>
      <c r="K15" s="109">
        <f t="shared" ref="K15:K47" si="22">+J15*H15*I15</f>
        <v>510406.04999999993</v>
      </c>
    </row>
    <row r="16">
      <c r="E16" s="109">
        <f t="shared" si="19"/>
        <v>1166.6423999999997</v>
      </c>
      <c r="F16" s="109">
        <v>160</v>
      </c>
      <c r="G16" s="6">
        <f t="shared" si="20"/>
        <v>7.2915149999999986</v>
      </c>
      <c r="H16" s="6">
        <v>2</v>
      </c>
      <c r="I16" s="6">
        <f t="shared" si="21"/>
        <v>3.6457574999999993</v>
      </c>
      <c r="J16" s="109">
        <v>70000</v>
      </c>
      <c r="K16" s="109">
        <f t="shared" si="22"/>
        <v>510406.04999999993</v>
      </c>
    </row>
    <row r="17">
      <c r="A17" s="33" t="s">
        <v>149</v>
      </c>
      <c r="E17" s="109">
        <f t="shared" si="19"/>
        <v>1166.6423999999997</v>
      </c>
      <c r="F17" s="109">
        <v>160</v>
      </c>
      <c r="G17" s="6">
        <f t="shared" si="20"/>
        <v>7.2915149999999986</v>
      </c>
      <c r="H17" s="7">
        <v>3</v>
      </c>
      <c r="I17" s="7">
        <f t="shared" si="21"/>
        <v>2.4305049999999997</v>
      </c>
      <c r="J17" s="109">
        <v>70000</v>
      </c>
      <c r="K17" s="109">
        <f t="shared" si="22"/>
        <v>510406.04999999993</v>
      </c>
    </row>
    <row r="18">
      <c r="A18" s="94" t="s">
        <v>133</v>
      </c>
      <c r="B18" s="94" t="s">
        <v>16</v>
      </c>
      <c r="C18" s="94" t="s">
        <v>61</v>
      </c>
      <c r="E18" s="109">
        <f t="shared" si="19"/>
        <v>1166.6423999999997</v>
      </c>
      <c r="F18" s="109">
        <v>160</v>
      </c>
      <c r="G18" s="6">
        <f t="shared" si="20"/>
        <v>7.2915149999999986</v>
      </c>
      <c r="H18" s="7">
        <v>4</v>
      </c>
      <c r="I18" s="6">
        <f t="shared" si="21"/>
        <v>1.8228787499999997</v>
      </c>
      <c r="J18" s="109">
        <v>70000</v>
      </c>
      <c r="K18" s="109">
        <f t="shared" si="22"/>
        <v>510406.04999999993</v>
      </c>
    </row>
    <row r="19">
      <c r="A19" s="6" t="s">
        <v>141</v>
      </c>
      <c r="B19" s="21">
        <f>+H17</f>
        <v>3</v>
      </c>
      <c r="C19" s="109">
        <f>+I17</f>
        <v>2.4305049999999997</v>
      </c>
      <c r="E19" s="109">
        <f t="shared" si="19"/>
        <v>1166.6423999999997</v>
      </c>
      <c r="F19" s="109">
        <v>160</v>
      </c>
      <c r="G19" s="6">
        <f t="shared" si="20"/>
        <v>7.2915149999999986</v>
      </c>
      <c r="H19" s="6">
        <v>5</v>
      </c>
      <c r="I19" s="6">
        <f t="shared" si="21"/>
        <v>1.4583029999999997</v>
      </c>
      <c r="J19" s="109">
        <v>70000</v>
      </c>
      <c r="K19" s="109">
        <f t="shared" si="22"/>
        <v>510406.04999999987</v>
      </c>
    </row>
    <row r="20">
      <c r="A20" s="6" t="s">
        <v>142</v>
      </c>
      <c r="B20" s="21">
        <f>+H28</f>
        <v>2</v>
      </c>
      <c r="C20" s="109">
        <f>+I28</f>
        <v>2.9166059999999994</v>
      </c>
      <c r="E20" s="109">
        <f t="shared" si="19"/>
        <v>1166.6423999999997</v>
      </c>
      <c r="F20" s="109">
        <v>160</v>
      </c>
      <c r="G20" s="6">
        <f t="shared" si="20"/>
        <v>7.2915149999999986</v>
      </c>
      <c r="H20" s="6">
        <v>6</v>
      </c>
      <c r="I20" s="6">
        <f t="shared" si="21"/>
        <v>1.2152524999999998</v>
      </c>
      <c r="J20" s="109">
        <v>70000</v>
      </c>
      <c r="K20" s="109">
        <f t="shared" si="22"/>
        <v>510406.04999999993</v>
      </c>
    </row>
    <row r="21">
      <c r="A21" s="6" t="s">
        <v>143</v>
      </c>
      <c r="B21" s="113">
        <f>+H47</f>
        <v>10</v>
      </c>
      <c r="C21" s="111">
        <f>+I47</f>
        <v>1.0208120999999997</v>
      </c>
      <c r="E21" s="109">
        <f t="shared" si="19"/>
        <v>1166.6423999999997</v>
      </c>
      <c r="F21" s="109">
        <v>160</v>
      </c>
      <c r="G21" s="6">
        <f t="shared" si="20"/>
        <v>7.2915149999999986</v>
      </c>
      <c r="H21" s="6">
        <v>7</v>
      </c>
      <c r="I21" s="6">
        <f t="shared" si="21"/>
        <v>1.0416449999999997</v>
      </c>
      <c r="J21" s="109">
        <v>70000</v>
      </c>
      <c r="K21" s="109">
        <f t="shared" si="22"/>
        <v>510406.04999999987</v>
      </c>
    </row>
    <row r="22">
      <c r="A22" s="6" t="s">
        <v>144</v>
      </c>
      <c r="B22" s="21">
        <f>+H57</f>
        <v>5</v>
      </c>
      <c r="C22" s="109">
        <f>+I57</f>
        <v>1.1666423999999997</v>
      </c>
      <c r="E22" s="109">
        <f t="shared" si="19"/>
        <v>1166.6423999999997</v>
      </c>
      <c r="F22" s="109">
        <v>160</v>
      </c>
      <c r="G22" s="6">
        <f t="shared" si="20"/>
        <v>7.2915149999999986</v>
      </c>
      <c r="H22" s="6">
        <v>8</v>
      </c>
      <c r="I22" s="6">
        <f t="shared" si="21"/>
        <v>0.91143937499999983</v>
      </c>
      <c r="J22" s="109">
        <v>70000</v>
      </c>
      <c r="K22" s="109">
        <f t="shared" si="22"/>
        <v>510406.04999999993</v>
      </c>
    </row>
    <row r="23">
      <c r="A23" s="6" t="s">
        <v>14</v>
      </c>
      <c r="B23" s="114">
        <f>SUM(B19:B22)</f>
        <v>20</v>
      </c>
      <c r="C23" s="110">
        <f>SUM(C19:C22)</f>
        <v>7.5345654999999985</v>
      </c>
      <c r="E23" s="109">
        <f t="shared" si="19"/>
        <v>1166.6423999999997</v>
      </c>
      <c r="F23" s="109">
        <v>160</v>
      </c>
      <c r="G23" s="6">
        <f t="shared" si="20"/>
        <v>7.2915149999999986</v>
      </c>
      <c r="H23" s="6">
        <v>9</v>
      </c>
      <c r="I23" s="6">
        <f t="shared" si="21"/>
        <v>0.81016833333333316</v>
      </c>
      <c r="J23" s="109">
        <v>70000</v>
      </c>
      <c r="K23" s="109">
        <f t="shared" si="22"/>
        <v>510406.04999999987</v>
      </c>
    </row>
    <row r="25">
      <c r="E25" s="115" t="s">
        <v>142</v>
      </c>
      <c r="F25" s="115"/>
      <c r="G25" s="115"/>
      <c r="H25" s="115"/>
      <c r="I25" s="115"/>
      <c r="J25" s="115"/>
      <c r="K25" s="115"/>
    </row>
    <row r="26">
      <c r="E26" s="106" t="s">
        <v>136</v>
      </c>
      <c r="F26" s="106" t="s">
        <v>137</v>
      </c>
      <c r="G26" s="106" t="s">
        <v>138</v>
      </c>
      <c r="H26" s="106" t="s">
        <v>139</v>
      </c>
      <c r="I26" s="106" t="s">
        <v>140</v>
      </c>
      <c r="J26" s="106" t="s">
        <v>150</v>
      </c>
      <c r="K26" s="106" t="s">
        <v>148</v>
      </c>
    </row>
    <row r="27">
      <c r="E27" s="109">
        <f t="shared" ref="E27:E35" si="23">+$C$4</f>
        <v>933.31391999999983</v>
      </c>
      <c r="F27" s="109">
        <v>160</v>
      </c>
      <c r="G27" s="6">
        <f t="shared" si="20"/>
        <v>5.8332119999999987</v>
      </c>
      <c r="H27" s="112">
        <v>1</v>
      </c>
      <c r="I27" s="6">
        <f t="shared" si="21"/>
        <v>5.8332119999999987</v>
      </c>
      <c r="J27" s="109">
        <v>65000</v>
      </c>
      <c r="K27" s="109">
        <f t="shared" si="22"/>
        <v>379158.77999999991</v>
      </c>
    </row>
    <row r="28">
      <c r="E28" s="109">
        <f t="shared" si="23"/>
        <v>933.31391999999983</v>
      </c>
      <c r="F28" s="109">
        <v>160</v>
      </c>
      <c r="G28" s="6">
        <f t="shared" si="20"/>
        <v>5.8332119999999987</v>
      </c>
      <c r="H28" s="6">
        <v>2</v>
      </c>
      <c r="I28" s="6">
        <f t="shared" si="21"/>
        <v>2.9166059999999994</v>
      </c>
      <c r="J28" s="109">
        <v>65000</v>
      </c>
      <c r="K28" s="109">
        <f t="shared" si="22"/>
        <v>379158.77999999991</v>
      </c>
    </row>
    <row r="29">
      <c r="E29" s="109">
        <f t="shared" si="23"/>
        <v>933.31391999999983</v>
      </c>
      <c r="F29" s="109">
        <v>160</v>
      </c>
      <c r="G29" s="6">
        <f t="shared" si="20"/>
        <v>5.8332119999999987</v>
      </c>
      <c r="H29" s="7">
        <v>3</v>
      </c>
      <c r="I29" s="7">
        <f t="shared" si="21"/>
        <v>1.9444039999999996</v>
      </c>
      <c r="J29" s="109">
        <v>65000</v>
      </c>
      <c r="K29" s="109">
        <f t="shared" si="22"/>
        <v>379158.77999999991</v>
      </c>
    </row>
    <row r="30">
      <c r="E30" s="109">
        <f t="shared" si="23"/>
        <v>933.31391999999983</v>
      </c>
      <c r="F30" s="109">
        <v>160</v>
      </c>
      <c r="G30" s="6">
        <f t="shared" si="20"/>
        <v>5.8332119999999987</v>
      </c>
      <c r="H30" s="6">
        <v>4</v>
      </c>
      <c r="I30" s="6">
        <f t="shared" si="21"/>
        <v>1.4583029999999997</v>
      </c>
      <c r="J30" s="109">
        <v>65000</v>
      </c>
      <c r="K30" s="109">
        <f t="shared" si="22"/>
        <v>379158.77999999991</v>
      </c>
    </row>
    <row r="31">
      <c r="E31" s="109">
        <f t="shared" si="23"/>
        <v>933.31391999999983</v>
      </c>
      <c r="F31" s="109">
        <v>160</v>
      </c>
      <c r="G31" s="6">
        <f t="shared" si="20"/>
        <v>5.8332119999999987</v>
      </c>
      <c r="H31" s="6">
        <v>5</v>
      </c>
      <c r="I31" s="6">
        <f t="shared" si="21"/>
        <v>1.1666423999999997</v>
      </c>
      <c r="J31" s="109">
        <v>65000</v>
      </c>
      <c r="K31" s="109">
        <f t="shared" si="22"/>
        <v>379158.77999999991</v>
      </c>
    </row>
    <row r="32">
      <c r="E32" s="109">
        <f t="shared" si="23"/>
        <v>933.31391999999983</v>
      </c>
      <c r="F32" s="109">
        <v>160</v>
      </c>
      <c r="G32" s="6">
        <f t="shared" si="20"/>
        <v>5.8332119999999987</v>
      </c>
      <c r="H32" s="6">
        <v>6</v>
      </c>
      <c r="I32" s="6">
        <f t="shared" si="21"/>
        <v>0.97220199999999979</v>
      </c>
      <c r="J32" s="109">
        <v>65000</v>
      </c>
      <c r="K32" s="109">
        <f t="shared" si="22"/>
        <v>379158.77999999991</v>
      </c>
    </row>
    <row r="33">
      <c r="E33" s="109">
        <f t="shared" si="23"/>
        <v>933.31391999999983</v>
      </c>
      <c r="F33" s="109">
        <v>160</v>
      </c>
      <c r="G33" s="6">
        <f t="shared" si="20"/>
        <v>5.8332119999999987</v>
      </c>
      <c r="H33" s="6">
        <v>7</v>
      </c>
      <c r="I33" s="6">
        <f t="shared" si="21"/>
        <v>0.83331599999999983</v>
      </c>
      <c r="J33" s="109">
        <v>65000</v>
      </c>
      <c r="K33" s="109">
        <f t="shared" si="22"/>
        <v>379158.77999999991</v>
      </c>
    </row>
    <row r="34">
      <c r="E34" s="109">
        <f t="shared" si="23"/>
        <v>933.31391999999983</v>
      </c>
      <c r="F34" s="109">
        <v>160</v>
      </c>
      <c r="G34" s="6">
        <f t="shared" si="20"/>
        <v>5.8332119999999987</v>
      </c>
      <c r="H34" s="6">
        <v>8</v>
      </c>
      <c r="I34" s="6">
        <f t="shared" si="21"/>
        <v>0.72915149999999984</v>
      </c>
      <c r="J34" s="109">
        <v>65000</v>
      </c>
      <c r="K34" s="109">
        <f t="shared" si="22"/>
        <v>379158.77999999991</v>
      </c>
    </row>
    <row r="35">
      <c r="E35" s="109">
        <f t="shared" si="23"/>
        <v>933.31391999999983</v>
      </c>
      <c r="F35" s="109">
        <v>160</v>
      </c>
      <c r="G35" s="6">
        <f t="shared" si="20"/>
        <v>5.8332119999999987</v>
      </c>
      <c r="H35" s="6">
        <v>9</v>
      </c>
      <c r="I35" s="6">
        <f t="shared" si="21"/>
        <v>0.64813466666666653</v>
      </c>
      <c r="J35" s="109">
        <v>65000</v>
      </c>
      <c r="K35" s="109">
        <f t="shared" si="22"/>
        <v>379158.77999999991</v>
      </c>
    </row>
    <row r="37">
      <c r="E37" s="115" t="s">
        <v>143</v>
      </c>
      <c r="F37" s="115"/>
      <c r="G37" s="115"/>
      <c r="H37" s="115"/>
      <c r="I37" s="115"/>
      <c r="J37" s="115"/>
      <c r="K37" s="115"/>
    </row>
    <row r="38">
      <c r="E38" s="106" t="s">
        <v>136</v>
      </c>
      <c r="F38" s="106" t="s">
        <v>137</v>
      </c>
      <c r="G38" s="106" t="s">
        <v>138</v>
      </c>
      <c r="H38" s="106" t="s">
        <v>139</v>
      </c>
      <c r="I38" s="106" t="s">
        <v>140</v>
      </c>
      <c r="J38" s="106" t="s">
        <v>151</v>
      </c>
      <c r="K38" s="106" t="s">
        <v>148</v>
      </c>
    </row>
    <row r="39">
      <c r="E39" s="109">
        <f t="shared" ref="E39:E47" si="24">+$C$5</f>
        <v>1633.2993599999995</v>
      </c>
      <c r="F39" s="109">
        <v>160</v>
      </c>
      <c r="G39" s="6">
        <f t="shared" si="20"/>
        <v>10.208120999999997</v>
      </c>
      <c r="H39" s="112">
        <v>2</v>
      </c>
      <c r="I39" s="6">
        <f t="shared" si="21"/>
        <v>5.1040604999999983</v>
      </c>
      <c r="J39" s="109">
        <v>90000</v>
      </c>
      <c r="K39" s="109">
        <f t="shared" si="22"/>
        <v>918730.88999999966</v>
      </c>
    </row>
    <row r="40">
      <c r="E40" s="109">
        <f t="shared" si="24"/>
        <v>1633.2993599999995</v>
      </c>
      <c r="F40" s="109">
        <v>160</v>
      </c>
      <c r="G40" s="6">
        <f t="shared" si="20"/>
        <v>10.208120999999997</v>
      </c>
      <c r="H40" s="6">
        <v>3</v>
      </c>
      <c r="I40" s="6">
        <f t="shared" si="21"/>
        <v>3.402706999999999</v>
      </c>
      <c r="J40" s="109">
        <v>90000</v>
      </c>
      <c r="K40" s="109">
        <f t="shared" si="22"/>
        <v>918730.88999999978</v>
      </c>
    </row>
    <row r="41">
      <c r="E41" s="109">
        <f t="shared" si="24"/>
        <v>1633.2993599999995</v>
      </c>
      <c r="F41" s="109">
        <v>160</v>
      </c>
      <c r="G41" s="6">
        <f t="shared" si="20"/>
        <v>10.208120999999997</v>
      </c>
      <c r="H41" s="7">
        <v>4</v>
      </c>
      <c r="I41" s="7">
        <f t="shared" si="21"/>
        <v>2.5520302499999992</v>
      </c>
      <c r="J41" s="109">
        <v>90000</v>
      </c>
      <c r="K41" s="109">
        <f t="shared" si="22"/>
        <v>918730.88999999966</v>
      </c>
    </row>
    <row r="42">
      <c r="E42" s="109">
        <f t="shared" si="24"/>
        <v>1633.2993599999995</v>
      </c>
      <c r="F42" s="109">
        <v>160</v>
      </c>
      <c r="G42" s="6">
        <f t="shared" si="20"/>
        <v>10.208120999999997</v>
      </c>
      <c r="H42" s="6">
        <v>5</v>
      </c>
      <c r="I42" s="6">
        <f t="shared" si="21"/>
        <v>2.0416241999999993</v>
      </c>
      <c r="J42" s="109">
        <v>90000</v>
      </c>
      <c r="K42" s="109">
        <f t="shared" si="22"/>
        <v>918730.88999999966</v>
      </c>
    </row>
    <row r="43">
      <c r="E43" s="109">
        <f t="shared" si="24"/>
        <v>1633.2993599999995</v>
      </c>
      <c r="F43" s="109">
        <v>160</v>
      </c>
      <c r="G43" s="6">
        <f t="shared" si="20"/>
        <v>10.208120999999997</v>
      </c>
      <c r="H43" s="6">
        <v>6</v>
      </c>
      <c r="I43" s="6">
        <f t="shared" si="21"/>
        <v>1.7013534999999995</v>
      </c>
      <c r="J43" s="109">
        <v>90000</v>
      </c>
      <c r="K43" s="109">
        <f t="shared" si="22"/>
        <v>918730.88999999978</v>
      </c>
    </row>
    <row r="44">
      <c r="E44" s="109">
        <f t="shared" si="24"/>
        <v>1633.2993599999995</v>
      </c>
      <c r="F44" s="109">
        <v>160</v>
      </c>
      <c r="G44" s="6">
        <f t="shared" si="20"/>
        <v>10.208120999999997</v>
      </c>
      <c r="H44" s="6">
        <v>7</v>
      </c>
      <c r="I44" s="6">
        <f t="shared" si="21"/>
        <v>1.4583029999999995</v>
      </c>
      <c r="J44" s="109">
        <v>90000</v>
      </c>
      <c r="K44" s="109">
        <f t="shared" si="22"/>
        <v>918730.88999999966</v>
      </c>
    </row>
    <row r="45">
      <c r="E45" s="109">
        <f t="shared" si="24"/>
        <v>1633.2993599999995</v>
      </c>
      <c r="F45" s="109">
        <v>160</v>
      </c>
      <c r="G45" s="6">
        <f t="shared" si="20"/>
        <v>10.208120999999997</v>
      </c>
      <c r="H45" s="6">
        <v>8</v>
      </c>
      <c r="I45" s="6">
        <f t="shared" si="21"/>
        <v>1.2760151249999996</v>
      </c>
      <c r="J45" s="109">
        <v>90000</v>
      </c>
      <c r="K45" s="109">
        <f t="shared" si="22"/>
        <v>918730.88999999966</v>
      </c>
    </row>
    <row r="46">
      <c r="E46" s="109">
        <f t="shared" si="24"/>
        <v>1633.2993599999995</v>
      </c>
      <c r="F46" s="109">
        <v>160</v>
      </c>
      <c r="G46" s="6">
        <f t="shared" si="20"/>
        <v>10.208120999999997</v>
      </c>
      <c r="H46" s="6">
        <v>9</v>
      </c>
      <c r="I46" s="6">
        <f t="shared" si="21"/>
        <v>1.1342356666666662</v>
      </c>
      <c r="J46" s="109">
        <v>90000</v>
      </c>
      <c r="K46" s="109">
        <f t="shared" si="22"/>
        <v>918730.88999999966</v>
      </c>
    </row>
    <row r="47" ht="14.25">
      <c r="E47" s="109">
        <f t="shared" si="24"/>
        <v>1633.2993599999995</v>
      </c>
      <c r="F47" s="109">
        <v>160</v>
      </c>
      <c r="G47" s="6">
        <f t="shared" si="20"/>
        <v>10.208120999999997</v>
      </c>
      <c r="H47" s="6">
        <v>10</v>
      </c>
      <c r="I47" s="6">
        <f t="shared" si="21"/>
        <v>1.0208120999999997</v>
      </c>
      <c r="J47" s="109">
        <v>90000</v>
      </c>
      <c r="K47" s="109">
        <f t="shared" si="22"/>
        <v>918730.88999999966</v>
      </c>
    </row>
    <row r="48" ht="14.25">
      <c r="E48" s="109">
        <f>+$C$5</f>
        <v>1633.2993599999995</v>
      </c>
      <c r="F48" s="109">
        <v>160</v>
      </c>
      <c r="G48" s="6">
        <f>+E48/F48</f>
        <v>10.208120999999997</v>
      </c>
      <c r="H48" s="6">
        <v>11</v>
      </c>
      <c r="I48" s="6">
        <f>+G48/H48</f>
        <v>0.9280109999999997</v>
      </c>
      <c r="J48" s="109">
        <v>90000</v>
      </c>
      <c r="K48" s="109">
        <f>+J48*H48*I48</f>
        <v>918730.88999999966</v>
      </c>
    </row>
    <row r="49">
      <c r="E49" s="109">
        <f>+$C$5</f>
        <v>1633.2993599999995</v>
      </c>
      <c r="F49" s="109">
        <v>160</v>
      </c>
      <c r="G49" s="6">
        <f>+E49/F49</f>
        <v>10.208120999999997</v>
      </c>
      <c r="H49" s="6">
        <v>12</v>
      </c>
      <c r="I49" s="6">
        <f>+G49/H49</f>
        <v>0.85067674999999976</v>
      </c>
      <c r="J49" s="109">
        <v>90000</v>
      </c>
      <c r="K49" s="109">
        <f>+J49*H49*I49</f>
        <v>918730.88999999978</v>
      </c>
    </row>
    <row r="52">
      <c r="E52" s="115" t="s">
        <v>152</v>
      </c>
      <c r="F52" s="115"/>
      <c r="G52" s="115"/>
      <c r="H52" s="115"/>
      <c r="I52" s="115"/>
      <c r="J52" s="115"/>
      <c r="K52" s="115"/>
    </row>
    <row r="53">
      <c r="E53" s="106" t="s">
        <v>136</v>
      </c>
      <c r="F53" s="106" t="s">
        <v>137</v>
      </c>
      <c r="G53" s="106" t="s">
        <v>138</v>
      </c>
      <c r="H53" s="106" t="s">
        <v>139</v>
      </c>
      <c r="I53" s="106" t="s">
        <v>140</v>
      </c>
      <c r="J53" s="106" t="s">
        <v>153</v>
      </c>
      <c r="K53" s="106" t="s">
        <v>148</v>
      </c>
    </row>
    <row r="54">
      <c r="E54" s="109">
        <f>+$C$6</f>
        <v>933.31391999999983</v>
      </c>
      <c r="F54" s="6">
        <v>160</v>
      </c>
      <c r="G54" s="6">
        <f>+E54/F54</f>
        <v>5.8332119999999987</v>
      </c>
      <c r="H54" s="112">
        <v>2</v>
      </c>
      <c r="I54" s="6">
        <f>+G54/H54</f>
        <v>2.9166059999999994</v>
      </c>
      <c r="J54" s="109">
        <v>70000</v>
      </c>
      <c r="K54" s="109">
        <f>+J54*H54*I54</f>
        <v>408324.83999999991</v>
      </c>
    </row>
    <row r="55">
      <c r="E55" s="109">
        <f>+$C$6</f>
        <v>933.31391999999983</v>
      </c>
      <c r="F55" s="6">
        <v>160</v>
      </c>
      <c r="G55" s="6">
        <f>+E55/F55</f>
        <v>5.8332119999999987</v>
      </c>
      <c r="H55" s="6">
        <v>3</v>
      </c>
      <c r="I55" s="6">
        <f>+G55/H55</f>
        <v>1.9444039999999996</v>
      </c>
      <c r="J55" s="109">
        <v>70000</v>
      </c>
      <c r="K55" s="109">
        <f>+J55*H55*I55</f>
        <v>408324.83999999991</v>
      </c>
    </row>
    <row r="56">
      <c r="E56" s="109">
        <f>+$C$6</f>
        <v>933.31391999999983</v>
      </c>
      <c r="F56" s="6">
        <v>160</v>
      </c>
      <c r="G56" s="6">
        <f>+E56/F56</f>
        <v>5.8332119999999987</v>
      </c>
      <c r="H56" s="6">
        <v>4</v>
      </c>
      <c r="I56" s="6">
        <f>+G56/H56</f>
        <v>1.4583029999999997</v>
      </c>
      <c r="J56" s="109">
        <v>70000</v>
      </c>
      <c r="K56" s="109">
        <f>+J56*H56*I56</f>
        <v>408324.83999999991</v>
      </c>
    </row>
    <row r="57">
      <c r="E57" s="109">
        <f>+$C$6</f>
        <v>933.31391999999983</v>
      </c>
      <c r="F57" s="6">
        <v>160</v>
      </c>
      <c r="G57" s="6">
        <f>+E57/F57</f>
        <v>5.8332119999999987</v>
      </c>
      <c r="H57" s="7">
        <v>5</v>
      </c>
      <c r="I57" s="7">
        <f>+G57/H57</f>
        <v>1.1666423999999997</v>
      </c>
      <c r="J57" s="109">
        <v>70000</v>
      </c>
      <c r="K57" s="109">
        <f>+J57*H57*I57</f>
        <v>408324.83999999991</v>
      </c>
    </row>
    <row r="58" ht="14.25">
      <c r="E58" s="109">
        <f>+$C$6</f>
        <v>933.31391999999983</v>
      </c>
      <c r="F58" s="6">
        <v>160</v>
      </c>
      <c r="G58" s="6">
        <f>+E58/F58</f>
        <v>5.8332119999999987</v>
      </c>
      <c r="H58" s="6">
        <v>6</v>
      </c>
      <c r="I58" s="6">
        <f>+G58/H58</f>
        <v>0.97220199999999979</v>
      </c>
      <c r="J58" s="109">
        <v>70000</v>
      </c>
      <c r="K58" s="109">
        <f>+J58*H58*I58</f>
        <v>408324.83999999991</v>
      </c>
    </row>
    <row r="59" ht="14.25">
      <c r="E59" s="109">
        <f>+$C$6</f>
        <v>933.31391999999983</v>
      </c>
      <c r="F59" s="6">
        <v>160</v>
      </c>
      <c r="G59" s="6">
        <f>+E59/F59</f>
        <v>5.8332119999999987</v>
      </c>
      <c r="H59" s="6">
        <v>7</v>
      </c>
      <c r="I59" s="6">
        <f>+G59/H59</f>
        <v>0.83331599999999983</v>
      </c>
      <c r="J59" s="109">
        <v>70000</v>
      </c>
      <c r="K59" s="109">
        <f>+J59*H59*I59</f>
        <v>408324.83999999991</v>
      </c>
    </row>
    <row r="60" ht="14.25">
      <c r="E60" s="109">
        <f>+$C$6</f>
        <v>933.31391999999983</v>
      </c>
      <c r="F60" s="6">
        <v>160</v>
      </c>
      <c r="G60" s="6">
        <f>+E60/F60</f>
        <v>5.8332119999999987</v>
      </c>
      <c r="H60" s="6">
        <v>8</v>
      </c>
      <c r="I60" s="6">
        <f>+G60/H60</f>
        <v>0.72915149999999984</v>
      </c>
      <c r="J60" s="109">
        <v>70000</v>
      </c>
      <c r="K60" s="109">
        <f>+J60*H60*I60</f>
        <v>408324.83999999991</v>
      </c>
    </row>
    <row r="61" ht="14.25">
      <c r="E61" s="109">
        <f>+$C$6</f>
        <v>933.31391999999983</v>
      </c>
      <c r="F61" s="6">
        <v>160</v>
      </c>
      <c r="G61" s="6">
        <f>+E61/F61</f>
        <v>5.8332119999999987</v>
      </c>
      <c r="H61" s="6">
        <v>9</v>
      </c>
      <c r="I61" s="6">
        <f>+G61/H61</f>
        <v>0.64813466666666653</v>
      </c>
      <c r="J61" s="109">
        <v>70000</v>
      </c>
      <c r="K61" s="109">
        <f>+J61*H61*I61</f>
        <v>408324.83999999991</v>
      </c>
    </row>
  </sheetData>
  <mergeCells count="5">
    <mergeCell ref="A1:C1"/>
    <mergeCell ref="E13:K13"/>
    <mergeCell ref="E25:K25"/>
    <mergeCell ref="E37:K37"/>
    <mergeCell ref="E52:K5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Jsilva</dc:creator>
  <cp:revision>2</cp:revision>
  <dcterms:created xsi:type="dcterms:W3CDTF">2019-08-18T21:32:48Z</dcterms:created>
  <dcterms:modified xsi:type="dcterms:W3CDTF">2026-09-04T06:52:57Z</dcterms:modified>
</cp:coreProperties>
</file>